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odbert-e\Documents\GitHub\systematic_review_final\"/>
    </mc:Choice>
  </mc:AlternateContent>
  <xr:revisionPtr revIDLastSave="0" documentId="13_ncr:1_{D6CA0C6D-BD15-4E06-98E0-653BA7EF8D6A}" xr6:coauthVersionLast="47" xr6:coauthVersionMax="47" xr10:uidLastSave="{00000000-0000-0000-0000-000000000000}"/>
  <bookViews>
    <workbookView xWindow="-26192" yWindow="-109" windowWidth="26301" windowHeight="14169" xr2:uid="{00000000-000D-0000-FFFF-FFFF0000000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7" i="1" l="1"/>
  <c r="AC60" i="1"/>
</calcChain>
</file>

<file path=xl/sharedStrings.xml><?xml version="1.0" encoding="utf-8"?>
<sst xmlns="http://schemas.openxmlformats.org/spreadsheetml/2006/main" count="4410" uniqueCount="1127">
  <si>
    <t>DiVincenzo_2018</t>
  </si>
  <si>
    <t>Exploring the networking behaviors of hospital organizations</t>
  </si>
  <si>
    <t>Di Vincenzo F</t>
  </si>
  <si>
    <t>BMC Health Services Research</t>
  </si>
  <si>
    <t>Health Policy</t>
  </si>
  <si>
    <t>To study the dynamics of networking behaviors aming hospital organizations by analyzing the determinants of patient transfer relationships over time</t>
  </si>
  <si>
    <t>Archives of the Abruzzo Regional Health Agency</t>
  </si>
  <si>
    <t>Health insurance databases</t>
  </si>
  <si>
    <t>The dataset used and/or analyzed during the current study is available from the author on reasonable request. Data on hospital activities  and information on demographics and performance  were taken from the Abruzzo Health Agency archives and yearly reports. These data are collected regularly and archived digitally by the Region for administrative purposes  and by the Health Agency for its operational and reporting activities.</t>
  </si>
  <si>
    <t>Network not available.</t>
  </si>
  <si>
    <t>Direct</t>
  </si>
  <si>
    <t>NA</t>
  </si>
  <si>
    <t>Hospitals</t>
  </si>
  <si>
    <t>Interfacility</t>
  </si>
  <si>
    <t>Subnational</t>
  </si>
  <si>
    <t>Italy</t>
  </si>
  <si>
    <t>Temporal</t>
  </si>
  <si>
    <t>Yearly</t>
  </si>
  <si>
    <t>no</t>
  </si>
  <si>
    <t>density, degree, indegree = popularity, outdegree = activity, Jaccard coefficient (tie stability over time), dyadic and triadic structural effects (reciprocity, transitivity) reciprocity, transitive ties, 3-Cycles, balance</t>
  </si>
  <si>
    <t>in-degree, out-degree, reciprocity, transitive ties, Jaccard similarity</t>
  </si>
  <si>
    <t>modeling of determinants of patient transfer evolution modeling partner selection choice as a combination of multiple
organizational attributes and endogenous network-based processes.</t>
  </si>
  <si>
    <t>Patient transfers are influenced by organizational attributes (ex: number of staffed beds, case mix), institutional factors (ex: LHA membership) and geographical proximity</t>
  </si>
  <si>
    <t>network ties are more likely to form between hospitals facing similar operational uncertainty (=unprectability in hospital admissions, measured by the percentage of emergency admissions) and less likely between hospitals with overlapping specialties</t>
  </si>
  <si>
    <t>over time, the network showed tendencies toward reciprocity and transitive ties, highlighting structural and relational patterns in collaboration</t>
  </si>
  <si>
    <t>Kitts_2017</t>
  </si>
  <si>
    <t>Investigating the temporal dynamics of interorganizational exchange: patient transfers among Italian hospitals</t>
  </si>
  <si>
    <t>Kitts JA; Lomi A; Mascia D; Pallotti F; Quintane E</t>
  </si>
  <si>
    <t>American Journal of Sociology</t>
  </si>
  <si>
    <t>Social sciences</t>
  </si>
  <si>
    <t>Social Science</t>
  </si>
  <si>
    <t>To analyze the temporal dynamics of interhospital patient transfers and study how organizational reciprocation and embedding influence patient flows in a regional healthcare network</t>
  </si>
  <si>
    <t>No mention of data availibility. But use of Abruzzo data, so probably available upon reasonable request</t>
  </si>
  <si>
    <t>Monthly</t>
  </si>
  <si>
    <t>Monthly (called short-term) and yearly (called long-term)</t>
  </si>
  <si>
    <t>yes</t>
  </si>
  <si>
    <t>node level : indegree, outdegree, embedding inertia (whether a hospital tends to transfer patients to the same hospital over time)), embedding reciprocation (wheter a hospital is more likely to transfer patients to hospitals that have transferred patients to it in the past), dependence reciprocation (Whether a hospital tends to send patients to hospitals on which it is dependent for receiving patients.). dyadic level : reciprocity, transfer volume, shared partners. triadic-level metrics : transitivte triad closure (Likelihood that a hospital sends patients to a second hospital that already receives patients from a mutual partner (A → B, B → C → A).), cyclic triad closure (Likelihood that a hospital sends patients to a second hospital that has previously transferred patients to a third hospital, which in turn has transferred patients back to the first hospital (A → B → C → A).). Temporal metrics : Short-Term Reciprocation – Reciprocation behavior within a one-month window. ; Long-Term Reciprocation – Reciprocation behavior within a one-year window.</t>
  </si>
  <si>
    <t>in-degree, out-degree, reciprocity, transfer volume, shared partners, transitivity, cyclic closure, short-term reciprocation, long-term reciprocation</t>
  </si>
  <si>
    <t>Relational event modeling to study the sequence and dynamics of patient transfers over time.</t>
  </si>
  <si>
    <t>Analysis of triadic closure (how hospital interactions form cycles or clusters) + Distinction between competitive (same specialty or nearby hospitals) and complementary (different specialties or distant hospitals) exchanges.</t>
  </si>
  <si>
    <t>Lomi_2014</t>
  </si>
  <si>
    <t>Quality of Care and Interhospital Collaboration : a study of patient transfers in Italy</t>
  </si>
  <si>
    <t>Lomi A; Mascia D; Vu DQ; Pallotti F; Conaldi G; Iwashyna TJ</t>
  </si>
  <si>
    <t>Medical Care</t>
  </si>
  <si>
    <t>Public Health</t>
  </si>
  <si>
    <t>Public health, Epidemiology, Infectious Diseases</t>
  </si>
  <si>
    <t>Assess whether interorganizational relations provide individual pateints access to higher quality providers of care</t>
  </si>
  <si>
    <t>Because other articlers on this network said temporal</t>
  </si>
  <si>
    <t>Outdegree, weighted outdegree, weighted indegree, case mix, reciprocity, assrtativity by degree, assortativity by intesnity, transitive closure, cyclic closure</t>
  </si>
  <si>
    <t>in-degree, weighted in-degree, out-degree, weighted out-degree, reciprocity, assortativity, recent sending, recent receiving, cyclic closure, transitive closure</t>
  </si>
  <si>
    <t>Mascia_2011</t>
  </si>
  <si>
    <t>Understanding hospital performance: the role of network ties and patterns of competition</t>
  </si>
  <si>
    <t>Mascia D ; Di Vincenzo F</t>
  </si>
  <si>
    <t>Health Care Management Review</t>
  </si>
  <si>
    <t>Health policy</t>
  </si>
  <si>
    <t>To explore how interhospital collaborative network ties and competitive relationships affect hospital productivity</t>
  </si>
  <si>
    <t>1 network every year (so five networks)</t>
  </si>
  <si>
    <t>competition (defined as sum of niche overlaps), collaboration (measure by eigenvector centrality)</t>
  </si>
  <si>
    <t>niche overlap, eigenvector centrality</t>
  </si>
  <si>
    <t>Modèles de régression des moindres carrés généralisés (GLS) pour évaluer l’impact des relations de collaboration et de compétition sur la productivité hospitalière.</t>
  </si>
  <si>
    <t>Mascia_2012</t>
  </si>
  <si>
    <t>Dynamic analysis of interhospital collaboration and competition: Empirical evidence from an Italian regional health system</t>
  </si>
  <si>
    <t>Mascia D ; Di Vincenzo F ; Cicchetti A</t>
  </si>
  <si>
    <t>To examine the dynamics of collaboration and competition among hospitals in the Italian National Health System (I-NHS), focusing on patient-sharing networks and their evolution over time.</t>
  </si>
  <si>
    <t>density, degree</t>
  </si>
  <si>
    <t>niche overlap</t>
  </si>
  <si>
    <t>Negative binomial regression assessed the relationship between competition and collaboration. Examined effects of variables like geographical proximity, organizational form, and resource complementarity on collaboration.</t>
  </si>
  <si>
    <t>Investigated competitive overlap using niche models (Sohn’s niche overlap coefficient).</t>
  </si>
  <si>
    <t>Mascia_2013</t>
  </si>
  <si>
    <t>Dynamics of hospital competition: Social network analysis in the Italian National Health Service</t>
  </si>
  <si>
    <t>To analyze the evolution of competitive interdependences between hospital organizations and identify the organizational factors influencing these dynamics</t>
  </si>
  <si>
    <t>Examined the role of collaboration (patient-sharing), geographic proximity, and organizational characteristics (e.g., performance, size) in fostering competition.</t>
  </si>
  <si>
    <t>Modeled the dynamics of competition using stochastic actor-based models (SIENA).</t>
  </si>
  <si>
    <t>Mascia_2015</t>
  </si>
  <si>
    <t>Effect of hospital referral networks on patient readmissions</t>
  </si>
  <si>
    <t>Mascia D ; Angeli F ; Di Vincenzo F</t>
  </si>
  <si>
    <t>Social Science &amp; Medicine</t>
  </si>
  <si>
    <t>Social science applied to health, history and philosophy of science</t>
  </si>
  <si>
    <t>To examine how hospital referral networks affect patient readmission rates and to understand the role of network structures in care delivery outcomes.</t>
  </si>
  <si>
    <t>Data were provided by the Agency of Public Health, whose institutional mandate is to collect and manage administrative discharge data for the purpose of assessing regional hospitals' activities and performance. Patient information was anonymized using unique identification codes assigned to admitted patients by the regional agency. The codes, together with information about the dates and nature of discharges/admissions, were used to identify collaborative interhospital patient referrals. Administrative data were matched to identify patient transfers between hospitals, defined as discharge of a given patient and his/her admission by a different referral provider within 24 h afteradmission to the sender hospital (Lee et al., 2011). No ethical approval was necessary for this study since no experimental research was performed and patient information consisted of secondary data routinely collected and released by a regional agency of public health.</t>
  </si>
  <si>
    <t>Static</t>
  </si>
  <si>
    <t>Aggregated</t>
  </si>
  <si>
    <t>Static (different of Mascia 2011 Mascia 2012 and Mascia 2013 because they had data on only 1 year, and before they did 1 netwotrk every year)</t>
  </si>
  <si>
    <t>bonanich power, density</t>
  </si>
  <si>
    <t>Hierarchical logistic regression models to assess the influence of network attributes (e.g., centrality, density) on readmission rates.</t>
  </si>
  <si>
    <t>Vu_2017</t>
  </si>
  <si>
    <t>Relational event models for longitudinal network data with an application to interhospital patient transfers</t>
  </si>
  <si>
    <t>Vu D ; Lomi A ; Mascia D ; Pallotti F</t>
  </si>
  <si>
    <t>Statistics in Medicine</t>
  </si>
  <si>
    <t>Mathematics (Statistics and Probability), Medicine (Epidemiology)</t>
  </si>
  <si>
    <t>Computer science applied to health</t>
  </si>
  <si>
    <t>To introduce relational event models for analyzing dynamic, time-stamped patient transfer data and to explore the patterns of interhospital patient transfers in a small regional community</t>
  </si>
  <si>
    <t>out-degree, in-degree, out-intensity, in-intensity, sending balance, receiving balance, reciprocity, assortativity by degree, assortativity by intensity, transitive closure, cyclic closure, sending and receiving balance</t>
  </si>
  <si>
    <t>out-degree, in-degree, out-intensity, in-intensity, recent sending, recent receiving, reciprocity, assortativity, cyclic closure, sending balance, receiving balance</t>
  </si>
  <si>
    <t>conditional multinomial logistic regression models for transfer destination. To assess what covariables influence the choice of receiving hospital.</t>
  </si>
  <si>
    <t>distinction between within-specialty and between-specialty transfers</t>
  </si>
  <si>
    <t>Evangelista_2015</t>
  </si>
  <si>
    <t>The geographics of patients transfers: the case of an Italian Regional Health System</t>
  </si>
  <si>
    <t>Evangelista V</t>
  </si>
  <si>
    <t>GeoJournal</t>
  </si>
  <si>
    <t>To analyze the determinants of inter-hospital patient transfers in the Abruzzo regional health system in Italy, focusing on geographical, organizational, institutional and relational proximities</t>
  </si>
  <si>
    <t>Static (parce que seulement un an de données, comme Mascia 2015)</t>
  </si>
  <si>
    <t>eigenvector similarity</t>
  </si>
  <si>
    <t>eigenvector centrality</t>
  </si>
  <si>
    <t>Multiple Regression-Quadratic Assignment Procedure (MR-QAP) to evaluate the impact of proximity dimensions (geographical, organizational, institutional, relational) on patient transfers.</t>
  </si>
  <si>
    <t>Inter-hospital patient transfers are influenced by a combination of proximity dimensions, with geographical and institutional proximity enhancing collaboration, while organizational and relational proximity hinder it.</t>
  </si>
  <si>
    <t>Smaller or peripheral hospitals tend to send patients to larger, more central hospitals with better resources.</t>
  </si>
  <si>
    <t>Policies should consider these proximity dimensions (geographic and non-geographic factors) to design more effective regional health systems.</t>
  </si>
  <si>
    <t>Bower_2020</t>
  </si>
  <si>
    <r>
      <t xml:space="preserve">Evaluating movement of patients with carbapenem-resistant </t>
    </r>
    <r>
      <rPr>
        <i/>
        <sz val="11"/>
        <color theme="1"/>
        <rFont val="Calibri"/>
        <family val="2"/>
        <scheme val="minor"/>
      </rPr>
      <t>Enterobacteriaceae</t>
    </r>
    <r>
      <rPr>
        <sz val="11"/>
        <color theme="1"/>
        <rFont val="Calibri"/>
        <family val="2"/>
        <scheme val="minor"/>
      </rPr>
      <t xml:space="preserve"> infections in the greater Atlanta metropolitan area using social network analysis</t>
    </r>
  </si>
  <si>
    <t>Bower CW; Fridkin DW; Wolford HM; Slayton RB; Kubes JN; Jacob JT; Ray SM; Fridkin SK</t>
  </si>
  <si>
    <t>Clinical Infectious Diseases</t>
  </si>
  <si>
    <t>Infectious Diseases, Microbiology</t>
  </si>
  <si>
    <t>To analyze the spread of carbapenem-resistant Enterobacteriaceae in the Greater Atlanta metropolitan area by studying patient transfer patterns across healthcare facilities</t>
  </si>
  <si>
    <t>Medicare</t>
  </si>
  <si>
    <t>No information on availibility of data.</t>
  </si>
  <si>
    <t>1 year</t>
  </si>
  <si>
    <t>Hospitals and other healthcare facilities</t>
  </si>
  <si>
    <t>United States of America</t>
  </si>
  <si>
    <t>calculated weighted indegree, weighted outdegree, indegree, outdegree, and betweenness but showed only weighted indegree and betweenness ; cluster detection</t>
  </si>
  <si>
    <t>weighted in-degree, weighted out-degree, in-degree, out-degree, betweenness, clustering</t>
  </si>
  <si>
    <t>Multivariable negative binomial regression to predict CRE cases per facility, accounting for patient-days, facility type, and connectivity metrics.</t>
  </si>
  <si>
    <t>Correlation of CRE-derived and Medicare-derived connectivity metrics; Facility-level comparisons of CRE incidence and network centrality.</t>
  </si>
  <si>
    <t>CRE cases originated from nearly all ACHs and LTACHs but only about half of SNFs, with LTACHs showing the highest incidence rates per patient-day.</t>
  </si>
  <si>
    <t>Medicare-derived network metrics could predict facilities central to CRE spread, though some SNFs showed high CRE centrality despite low Medicare-derived centrality.</t>
  </si>
  <si>
    <t>Enhanced infection control measures targeting high-risk SNFs and LTACHs could significantly reduce CRE spread.</t>
  </si>
  <si>
    <t>Xia_2021</t>
  </si>
  <si>
    <t>Effects of incomplete inter-hospital network data on the assessment of transmission dynamics of hospital-acquired infections</t>
  </si>
  <si>
    <t>Xia H ; Horn J ; Piotrowska MJ ; Sakowski K ; Karch A ; Tahir H ; Kretzchmar M ; Mikolajczyk R</t>
  </si>
  <si>
    <t>PLOS Computational Biology</t>
  </si>
  <si>
    <t>Computational Biology</t>
  </si>
  <si>
    <t>To evaluate how incomplete data from hospital networks impacts estimates of network measures and modeled transmission dynamics of hospital-acquired infections, using a SIS model</t>
  </si>
  <si>
    <t>AOK databases</t>
  </si>
  <si>
    <t>AOK Bavaria : 2010-2015 ; AOK Lower Saxony : 2010-2015 ; AOK PLUS : 2011-2016</t>
  </si>
  <si>
    <t>The anonymized insurance data are owned by a third party (AOK Lower Saxony) and authors do not have permission to share them. These data may be requested from: AOK Bavaria, Carl-Wery- Straße 28, 81739 Mu ¨nchen; https://www.aok.de/pk/ bayern/ AOK Lower Saxony: AOK Niedersachsen: Hildesheimer Straße 273, 30519 Hannover; https:// niedersachsen.aok.de/ AOK PLUS, Sternplatz 7, 01067 Dresden; https://www.aok.de/pk/plus/.</t>
  </si>
  <si>
    <t>Bavaria : 357 hospitals ; Lower Saxony : 211 hospitals ; Saxony and Thuringia: 126 hospitals</t>
  </si>
  <si>
    <t>AOK Bavaria: 2397993 ; AOK Lower Saxony: 1268239 ; AOK PLUS: 1410588</t>
  </si>
  <si>
    <t>Bavaria, Lower Saxony, Saxony and Thuringia (3 networks)</t>
  </si>
  <si>
    <t>Germany</t>
  </si>
  <si>
    <t>density, in-/out-degree, in-/out-strength, and closeness centrality. Weighted cosine similarity was used to compare sampled and original networks.</t>
  </si>
  <si>
    <t>density, in-degree, out-degree, in-strength, out-strength, closeness, weighted cosine similarity</t>
  </si>
  <si>
    <t>scale-up methods to simulate missing data</t>
  </si>
  <si>
    <t>Compartmental model</t>
  </si>
  <si>
    <t>MRSA</t>
  </si>
  <si>
    <t>infection prevalence estimates remain robust even with data completedness = 10% of the population</t>
  </si>
  <si>
    <t>Scale-up methods improve robustness at high levels of incompleteness but cannot fully compensate for missing network connections.</t>
  </si>
  <si>
    <t>Xia_2024</t>
  </si>
  <si>
    <t>Regional patient transfer patterns matter for the spread of hospital-acquired pathogens</t>
  </si>
  <si>
    <t>Xia H; Horn J; Piotrowska MJ; Sakowski K; Karch A; Kretzschmar M; Mikolajczyk R</t>
  </si>
  <si>
    <t>Nature scientific reports</t>
  </si>
  <si>
    <t>Multidisciplinary</t>
  </si>
  <si>
    <t>To analyze patient transfer networks in 4 German states and assess their role in the spread of hospital-acquired infections, using ESBL-Klebsiella as a case study</t>
  </si>
  <si>
    <t>Indirect</t>
  </si>
  <si>
    <t>Patients with at least one hospitalization: Bavaria: 7,590,768 patients
Lower Saxony: 4,287,973 patients
Saxony and Thuringia: 3,339,086 patients</t>
  </si>
  <si>
    <t>in strength, out strength</t>
  </si>
  <si>
    <t>in-strength, out-strength</t>
  </si>
  <si>
    <t>ESBL K. pneumoniae</t>
  </si>
  <si>
    <t>Bergmark_2023</t>
  </si>
  <si>
    <t>Association of hospital centrality in inter-hospital patient-sharing networks with patient mortality and length of stay</t>
  </si>
  <si>
    <t>Bergmark RW; Jin G; Semco RS; Santolini M; Olsen MA; Dhand A</t>
  </si>
  <si>
    <t>PLoS One</t>
  </si>
  <si>
    <t>To foreground the interdependence of hospitals. Specifically to examine relationship of a hospital's network position with in-hospital mortality and length of stay.</t>
  </si>
  <si>
    <t>California and Florida State Inpatient Database (SID) and State Emergency Department Database (SEDD) from the Healthcare Cost and Utilization Project (HCUP)</t>
  </si>
  <si>
    <t>2011 for California ; 2014 for Florida</t>
  </si>
  <si>
    <t>: Data are publicly available from the Healthcare Cost and Utilization Project (https://www.hcup-us.ahrq.gov/databases. jsp) and the American Hospital Association (https:// www.ahadata.com/aha-annual-survey-database). These datasets can be obtained by application to HCUP and AHA.</t>
  </si>
  <si>
    <t>Florida : 272 ; California : 396</t>
  </si>
  <si>
    <t>Florida : 25 364 ; California : 46 659</t>
  </si>
  <si>
    <t>Florida : 1 246 169 ; California : 1 415 728</t>
  </si>
  <si>
    <t>weighted degree, density, transitivity</t>
  </si>
  <si>
    <t>multilevel logistic regression to determine the association of hospital centrality and inpatient mortality</t>
  </si>
  <si>
    <t>Justice_2022</t>
  </si>
  <si>
    <t>Inferring patient transfer networks between healthcare facilities</t>
  </si>
  <si>
    <t>Justice SA; Sewell DK; Miller AC; Simmering JE; Polgreen PM</t>
  </si>
  <si>
    <t>Health Services and Outcomes Research Methodology</t>
  </si>
  <si>
    <t>To develop and validate an imputation algorithm to estimate accurate patient transfer networks from the Healthcare Cost and Utilization Project (HCUP) State Inpatient Databases (SID) in the presence of missing patient tracking identifiers (VisitLink)</t>
  </si>
  <si>
    <t>Healthcare Cost and Utilization Project (HCUP) State Inpatient Databases (SID)</t>
  </si>
  <si>
    <t>California : 2003-2011 ; Iowa: 2009-2015; Nebraska: 2009-2014</t>
  </si>
  <si>
    <t>California : 9 years ; Iowa : 7 years ; Nebraska: 6 years</t>
  </si>
  <si>
    <r>
      <t xml:space="preserve">The patient transfer data used in this study come from the </t>
    </r>
    <r>
      <rPr>
        <b/>
        <sz val="11"/>
        <color theme="1"/>
        <rFont val="Calibri"/>
        <family val="2"/>
        <scheme val="minor"/>
      </rPr>
      <t>Healthcare Cost and Utilization Project (HCUP) State Inpatient Databases (SID)</t>
    </r>
    <r>
      <rPr>
        <sz val="11"/>
        <color theme="1"/>
        <rFont val="Calibri"/>
        <family val="2"/>
        <scheme val="minor"/>
      </rPr>
      <t xml:space="preserve">. These datasets are </t>
    </r>
    <r>
      <rPr>
        <b/>
        <sz val="11"/>
        <color theme="1"/>
        <rFont val="Calibri"/>
        <family val="2"/>
        <scheme val="minor"/>
      </rPr>
      <t>publicly obtainable but require a license for access</t>
    </r>
    <r>
      <rPr>
        <sz val="11"/>
        <color theme="1"/>
        <rFont val="Calibri"/>
        <family val="2"/>
        <scheme val="minor"/>
      </rPr>
      <t>.</t>
    </r>
  </si>
  <si>
    <t>California : 372; Iowa: 116 hospitals; Nebraska: 54 hospitals</t>
  </si>
  <si>
    <t>California: 34 045 231 ; Iowa: 2 250 928 ; Nebraska: 1 144 447</t>
  </si>
  <si>
    <t>California, Iowa, Nebraska (3 networks)</t>
  </si>
  <si>
    <t>indegree, outdegree, reciprocity</t>
  </si>
  <si>
    <t>in-degree, out-degree, reciprocity</t>
  </si>
  <si>
    <t>Agent-based model</t>
  </si>
  <si>
    <t>Generic pathogen</t>
  </si>
  <si>
    <t>the proposed imputation algorithm significantly reduces errors in estimating pateint transfers in the presence of missing identifiers, improving network accuracy</t>
  </si>
  <si>
    <t>correcting for missing patient tracjing data leads to more realistic epidemic simulations</t>
  </si>
  <si>
    <t>importance of accurate patient transfer data for eahtlhcare-associated infection modeling and intervention planning</t>
  </si>
  <si>
    <t>Sewell_2019</t>
  </si>
  <si>
    <r>
      <t xml:space="preserve">Estimating the attributable disease burden and effects of interhospital patient sharing on </t>
    </r>
    <r>
      <rPr>
        <i/>
        <sz val="11"/>
        <color theme="1"/>
        <rFont val="Calibri"/>
        <family val="2"/>
        <scheme val="minor"/>
      </rPr>
      <t xml:space="preserve">Clostridium difficile </t>
    </r>
    <r>
      <rPr>
        <sz val="11"/>
        <color theme="1"/>
        <rFont val="Calibri"/>
        <family val="2"/>
        <scheme val="minor"/>
      </rPr>
      <t>infections</t>
    </r>
  </si>
  <si>
    <t>Sewell DK; Simmering JE; Justice S; Pemmaraju SV; Segre AM; Polgreen PM</t>
  </si>
  <si>
    <t>Infection Control and Hospital Epidemiology</t>
  </si>
  <si>
    <t>Infectious Diseases, Epidemiology</t>
  </si>
  <si>
    <t>To estimate the burden of Clostridium difficile infections (CDIs) due to interfacility patient sharing at regional and hospital levels</t>
  </si>
  <si>
    <t>Averaged</t>
  </si>
  <si>
    <t>indegree (but not outdegree)</t>
  </si>
  <si>
    <t>in-degree</t>
  </si>
  <si>
    <t>monhtly average of CDI cases ~ patient transfer network + median length of stay + median number of diagnoses per inpateint visit + percent of pateints aged over 65 (voir papier pr "quation)</t>
  </si>
  <si>
    <t>Simmering_2015</t>
  </si>
  <si>
    <r>
      <t xml:space="preserve">Hospital transfer network structure as a risk factor for </t>
    </r>
    <r>
      <rPr>
        <i/>
        <sz val="11"/>
        <color theme="1"/>
        <rFont val="Calibri"/>
        <family val="2"/>
        <scheme val="minor"/>
      </rPr>
      <t xml:space="preserve">Clostridium difficile </t>
    </r>
    <r>
      <rPr>
        <sz val="11"/>
        <color theme="1"/>
        <rFont val="Calibri"/>
        <family val="2"/>
        <scheme val="minor"/>
      </rPr>
      <t>infection</t>
    </r>
  </si>
  <si>
    <t>Simmering JE; Polgreen LA; Campbell DR; Cavanaugh JE; Polgreen PM</t>
  </si>
  <si>
    <t>To investigate whether and to what extent the structure of hospital transfer networks influences the burden of CDI at individual hospitals</t>
  </si>
  <si>
    <t>9652292 (total patients in the dataset)</t>
  </si>
  <si>
    <t>Quarterly</t>
  </si>
  <si>
    <t>1 network every 3 months (28 networks in total)</t>
  </si>
  <si>
    <t>indegree (number of hospitals sending pateints), weighted indegree (volume of patients transferred in) + community detection to identify clusters of hospitals within the network</t>
  </si>
  <si>
    <t>in-degree, weighted in-degree, community detection</t>
  </si>
  <si>
    <t>Negative binomial regression to assess the relationship between network connectivity (indegree, weighted indegree) and CDI incidence,  adjusted for hospital characteristics (size, median length of stay, age distribution)</t>
  </si>
  <si>
    <t>Han_2019</t>
  </si>
  <si>
    <r>
      <t xml:space="preserve">Whole-Genome sequencing to identify drivers of carbapenem-resistant </t>
    </r>
    <r>
      <rPr>
        <i/>
        <sz val="11"/>
        <color theme="1"/>
        <rFont val="Calibri"/>
        <family val="2"/>
        <scheme val="minor"/>
      </rPr>
      <t>Kelbisella pneumoniae</t>
    </r>
    <r>
      <rPr>
        <sz val="11"/>
        <color theme="1"/>
        <rFont val="Calibri"/>
        <family val="2"/>
        <scheme val="minor"/>
      </rPr>
      <t xml:space="preserve"> transmission within and between regional long-term acute-care hospitals</t>
    </r>
  </si>
  <si>
    <t>Han JH; Lapp Z; Bushman F; Lautenbach E; Goldstein EJC; Mattei L; Hofstaedter CE; Kim D; Nachamkin I; Garrigan C; Jain T; Bilker W; Wolford HM; Slayton RB; Wise J; Tolomeo P; Snitkin ES</t>
  </si>
  <si>
    <t>Antimicrobial Agents and Chemotherapy</t>
  </si>
  <si>
    <t>Infectious Diseases</t>
  </si>
  <si>
    <r>
      <t xml:space="preserve">To identify drivers of regional transmission of Carbapenem-resistant </t>
    </r>
    <r>
      <rPr>
        <i/>
        <sz val="11"/>
        <color theme="1"/>
        <rFont val="Calibri"/>
        <family val="2"/>
        <scheme val="minor"/>
      </rPr>
      <t>Klebsiella pneumoniae</t>
    </r>
    <r>
      <rPr>
        <sz val="11"/>
        <color theme="1"/>
        <rFont val="Calibri"/>
        <family val="2"/>
        <scheme val="minor"/>
      </rPr>
      <t xml:space="preserve"> (CFKP) using whole-genome sequencing (WGS), patient transfer data, and clinical metadata from long-term acute-care hospitals (LTACHs)</t>
    </r>
  </si>
  <si>
    <t>Claims data from the Centers for Medicare &amp; Medicaid Services (CMS)</t>
  </si>
  <si>
    <t>data available with a request and authorization</t>
  </si>
  <si>
    <t>no metrics used</t>
  </si>
  <si>
    <t>use of whole-genome sequencing to reconstruct inter- and intrafacility transmission patterns</t>
  </si>
  <si>
    <t>patient flow strongly drives CRKP transmission across LTACHs, with geographic proximity influencing interfacility transmission rates</t>
  </si>
  <si>
    <t>facilities with higher intrafacility transmission ratios contributed dispropotionately to regional CRKP prevalence (estimation of intrafacility with other techniques than patient transfer)</t>
  </si>
  <si>
    <t>integrating WGS with patient transfer networks can guide precisxion infection prevention strategies targeting high-risk patients and facilities</t>
  </si>
  <si>
    <t>Papp_2021</t>
  </si>
  <si>
    <t>Assessment of patient flow and optimized use of lean thinking transformation from the perspective of graph theory and spectral graph theory: a case study</t>
  </si>
  <si>
    <t>Papp C; Harsanyi S; Gesztelyi R; Emri M; Zsuga J</t>
  </si>
  <si>
    <t>Technology and Health Care</t>
  </si>
  <si>
    <t>Health informatics</t>
  </si>
  <si>
    <t>To reorganize patient pathways by optimizing inpatient assignment and outpatient unit relocation (descirption of the existing patient flow network and proposition of two optimized flow networks)</t>
  </si>
  <si>
    <t>Hospital data from a hospital in Hungary</t>
  </si>
  <si>
    <t>Hospital databases</t>
  </si>
  <si>
    <t>no mention of data availibility. Probably not available because it is a hospital information system.</t>
  </si>
  <si>
    <t>Intrafacility</t>
  </si>
  <si>
    <t>Hospital or group of hospitals</t>
  </si>
  <si>
    <t>Hungary</t>
  </si>
  <si>
    <t>degree, strength, weighted edge density, betweenness, shortest path analysis using Floyd-Warshall algorithm, normalized diameter, clustering coefficient, small-worldness index, local and global efficiency, assortativity, spectral radius, spectral gap, eigenvector centrality, algebraic connectivity (Laplacian-based metric for network robustness), inverse eigen ratio, bipartiteness, community structure analysis</t>
  </si>
  <si>
    <t>degree, strength, weighted edge density, betweenness, geodesic distance, normalized diameter, global clustering coefficient, small-worldness index, local efficiency, global efficiency, assortativity, spectral radius, spectral gap, eigenvector centrality, connectivity, inverse eigen ratio, bipartiteness, community detection</t>
  </si>
  <si>
    <t>optimization of patient flow with spectral analysis of the weighted adjacency and the Laplacian matrix</t>
  </si>
  <si>
    <t>Ohst_2014</t>
  </si>
  <si>
    <r>
      <t xml:space="preserve">The network positions of methicillin resistant </t>
    </r>
    <r>
      <rPr>
        <i/>
        <sz val="11"/>
        <color theme="1"/>
        <rFont val="Calibri"/>
        <family val="2"/>
        <scheme val="minor"/>
      </rPr>
      <t>Stapghylococcus aureus</t>
    </r>
    <r>
      <rPr>
        <sz val="11"/>
        <color theme="1"/>
        <rFont val="Calibri"/>
        <family val="2"/>
        <scheme val="minor"/>
      </rPr>
      <t xml:space="preserve"> affected units in a regional healthcare system</t>
    </r>
  </si>
  <si>
    <t>Ohst J ; Liljeros F ; Stenhem M ; Holme P</t>
  </si>
  <si>
    <t>EPJ Data Science</t>
  </si>
  <si>
    <t>Computational mathematics</t>
  </si>
  <si>
    <t>Mathematics, Statistics</t>
  </si>
  <si>
    <r>
      <t xml:space="preserve">To analyze the network of healthcare units in a regional Swedish hospital system and investigate the relationship between unit centrality and the prevalence of methicillin-reisstant </t>
    </r>
    <r>
      <rPr>
        <i/>
        <sz val="11"/>
        <color theme="1"/>
        <rFont val="Calibri"/>
        <family val="2"/>
        <scheme val="minor"/>
      </rPr>
      <t>Staphylococcus aureus</t>
    </r>
    <r>
      <rPr>
        <sz val="11"/>
        <color theme="1"/>
        <rFont val="Calibri"/>
        <family val="2"/>
        <scheme val="minor"/>
      </rPr>
      <t xml:space="preserve"> (MRSA). The study also evaluates how the movement of MRSA-positive patients through the system affects infection control and outbreak sizes</t>
    </r>
  </si>
  <si>
    <t>Region of stokholm healthcare information system</t>
  </si>
  <si>
    <t>no info on data availibility</t>
  </si>
  <si>
    <t>Network not available</t>
  </si>
  <si>
    <t>Intrafacility and interfacility</t>
  </si>
  <si>
    <t>Sweden</t>
  </si>
  <si>
    <t>indegree, outdegree, weighted and unweighted betweenness centrality, PageRank</t>
  </si>
  <si>
    <t>in-degree, out-degree, weighted betweenness, unweighted betweenness, PageRank</t>
  </si>
  <si>
    <t>correlation between MRSA prevalence and network metrics</t>
  </si>
  <si>
    <t>the correlations between prevalence and centrality of units were too weak for identifying risk units</t>
  </si>
  <si>
    <t>Donker_2012</t>
  </si>
  <si>
    <t>Hospital Networks and the Dispersal of Hospital-Acquired Pathogens by Patient Transfer</t>
  </si>
  <si>
    <t>Donker T; Wallinga J; Slack R; Grundmann H</t>
  </si>
  <si>
    <t>Assess if the degree of hospital connectedness influences the rates of infections caused by hospital-acquired bacteria</t>
  </si>
  <si>
    <t>NHS HES</t>
  </si>
  <si>
    <t>National</t>
  </si>
  <si>
    <t>England</t>
  </si>
  <si>
    <t>degree ; weighted edge strength ; community structure detection ;infectious relative indegree ; network modularity</t>
  </si>
  <si>
    <t>degree, community detection, network modularity</t>
  </si>
  <si>
    <t>Partial correlation analysis to examine the relationship between MRSA incidence rates and hospital connectedness (IRI).</t>
  </si>
  <si>
    <t>Comparison of MRSA dispersal dynamics in England and the Netherlands.</t>
  </si>
  <si>
    <t>Hospitals with higher patient transfer connectivity have significantly higher MRSA incidence rates, emphasizing the role of patient movement in the spread of hospital-acquired infections</t>
  </si>
  <si>
    <t>Larger regional hospital clusters show higher MRSA prevalence, indicating that the structure of the hospital referral network itself contributes to pathogen dissemination</t>
  </si>
  <si>
    <t>The English hospital network, being more intrconnected than the Dutch system, facilitates faster and more sustained MRSA transmission, highlighting the need for stronger infection control in highly connected hospitals</t>
  </si>
  <si>
    <t>Donker_2014</t>
  </si>
  <si>
    <t>Dispersal of antibiotic-resistant high-risk clones by hospital networks: changing the patient direction can make all the difference</t>
  </si>
  <si>
    <t>Donker T; Wallinga J; Grundmann H</t>
  </si>
  <si>
    <t>Journal of hospital infection</t>
  </si>
  <si>
    <t>Infectious diseases</t>
  </si>
  <si>
    <t>To assess the influence of changes in referral patterns and network structure on the dispersal of these pathogens</t>
  </si>
  <si>
    <t>community structure detection (same as Donker_2012)</t>
  </si>
  <si>
    <t>community detection</t>
  </si>
  <si>
    <t>étude des patients admis en dehors de leur catchment area</t>
  </si>
  <si>
    <t>The structure of the patient referral network has a profound effect on the epidemic behaviour of high-risk clones</t>
  </si>
  <si>
    <t>Any changes that affect the number of referrals between healthcare collectives, inevitably affect the national dispersal of these pathogens</t>
  </si>
  <si>
    <t>These effects should be taken into account when creating national specialist centres, which may jeopardize control efforts</t>
  </si>
  <si>
    <t>Donker_2017a</t>
  </si>
  <si>
    <t>The relative importance of large problems far away versus small problems closer to home: insights into limiting the spread of antimicrobial in England</t>
  </si>
  <si>
    <t>Donker T; Henderson KL; Hopkins KL; Dodgson AR; Thomas S; Crook DW; Peto TEA; Johnson AP; Woodford N; Walker AS; Robotham JV</t>
  </si>
  <si>
    <t>BMC Medicine</t>
  </si>
  <si>
    <t>Medicine (miscellaneous)</t>
  </si>
  <si>
    <r>
      <t xml:space="preserve">To investigate how pateint transfers across the English hospital network influence the spread of carbapenemase-producing </t>
    </r>
    <r>
      <rPr>
        <i/>
        <sz val="11"/>
        <color theme="1"/>
        <rFont val="Calibri"/>
        <family val="2"/>
        <scheme val="minor"/>
      </rPr>
      <t>Enterobacteriaceae</t>
    </r>
    <r>
      <rPr>
        <sz val="11"/>
        <color theme="1"/>
        <rFont val="Calibri"/>
        <family val="2"/>
        <scheme val="minor"/>
      </rPr>
      <t xml:space="preserve"> (CPE), using referral regions to inform AMR screening strategies</t>
    </r>
  </si>
  <si>
    <t>degree, closeness, betweenness, metric to calculate shortest path, community structure detection (same as Donker_2012)</t>
  </si>
  <si>
    <t>degree, closeness, betweenness, average path length, community detection</t>
  </si>
  <si>
    <t>In contrast to the focus on import screening based on assigning a few hospitals as ‘high risk’, patient transfers between hospitals with small AMR problems in the same region often pose a larger absolute threat than patient transfers from hospitals in other regions with large problems, even if the prevalence in other regions is orders of magnitude higher</t>
  </si>
  <si>
    <t>Because the difference in numbers of exchanged patients, between and within regions, was mostly larger than the difference in CPE prevalence, it would be more effective for hospitals to focus on their own populations or region to inform control efforts rather than focussing on problems elsewhere.</t>
  </si>
  <si>
    <t>Donker_2017c</t>
  </si>
  <si>
    <t>Measuring distance through dense weighted networks: the case of hospital-associated pathogens</t>
  </si>
  <si>
    <t>Donker T ; Smieszek T ; Henderson KL ; Johnson AP ; Walker AS ; Robotham JV</t>
  </si>
  <si>
    <t>To determine the optimal way to measure the distance between hospitals in dense weighted networks to better understand and control the spread of hospital-associated pathogens</t>
  </si>
  <si>
    <t>Contact matrix avaible in supp material</t>
  </si>
  <si>
    <t>United Kingdom</t>
  </si>
  <si>
    <t>degree, closness, betweenness, modularity-maximizing community detection</t>
  </si>
  <si>
    <t>degree, closeness, betweenness, community detection</t>
  </si>
  <si>
    <t>weak links in hospital networks can allow pathogens to spread quickly over long distances, bypassing stronger local connections</t>
  </si>
  <si>
    <t>regional coordination in infection prevention is critical to control hospital-associated pathogen outbreaks effe'ctivbely</t>
  </si>
  <si>
    <t>Donker_2019</t>
  </si>
  <si>
    <t>Using hospital-based surveillance for antimicrobial resistance as a more robust alternative to self-reporting</t>
  </si>
  <si>
    <t>Donker T; Smieszek T; Henderson KL; Walker TM; Hope R; Johnson AP; Woodford N; Crook DW; Peto TEA; Walker AS; Robotham JV</t>
  </si>
  <si>
    <t>To propose and evaluate a hospital network-based surveillance system for antimicrobial resistance as an alternative to self-reporting, aiming to provide more reliable incidence estimates</t>
  </si>
  <si>
    <t>15,708,764</t>
  </si>
  <si>
    <t>8,681,397</t>
  </si>
  <si>
    <t>Simulation of patient-sharing schemes, using "greedy" and other algorithms, to evaluate the optimal subset of reporting hospitals for coverage of the entire network.</t>
  </si>
  <si>
    <t>network-based surveillance system for AMR can provide robust incidence estimates even with partial hospital participation</t>
  </si>
  <si>
    <t>The proposed system incentivizes hospitals to increase AMR testing and reporting while avoiding the penalties associated with self-reporting.</t>
  </si>
  <si>
    <t>the coverage of the surveillance system can be optimized can be optimized by strategically selecting hospitals based on patient-sharing patterns</t>
  </si>
  <si>
    <t>Ciccolini_2014</t>
  </si>
  <si>
    <t>Efficient surveillance for healthcare-associated infections spreading between hospitals</t>
  </si>
  <si>
    <t>Ciccolini M; Donker T; Grundmann H; Bonten MJ; Woolhouse ME</t>
  </si>
  <si>
    <t>PNAS</t>
  </si>
  <si>
    <t>In the context of HAI that spread between hospitals as a result of patient movements, optimizing the number of sentinel hospitals to reduce time to detection while having a relatively small number of hospitals</t>
  </si>
  <si>
    <t>England : NHS HES ; Netherlands: Dutch National Medical register</t>
  </si>
  <si>
    <t>England : 2006 ; Netherlands : 2004</t>
  </si>
  <si>
    <t>England : 146 ; Netherlands : 98</t>
  </si>
  <si>
    <t>England : NA ; Netherlands : NA</t>
  </si>
  <si>
    <t>England and Netherlands</t>
  </si>
  <si>
    <t>indegree (nb of hospitals from which a hospital admits moved patients in a 1-y period), in-flux (nb of patients admitted following discharge from other hospital), hospital h index, betweenness, closeness, eigenvector centrality</t>
  </si>
  <si>
    <t>in-degree, in-strength, betweenness, closeness, eigenvector centrality, h index</t>
  </si>
  <si>
    <t>implementation of a sentinel surveillance system with 8 different selection schemes: random selection, highest in-degree, highest in-flux, hospital h index, betweennesss, closeness, eigenvector centrality, gold standard with a "greedy" algorithm</t>
  </si>
  <si>
    <t>Strongly connected hospitals have significantly higher MRSA rates, as shown by the positive correlation between IRI and incidence rates.</t>
  </si>
  <si>
    <t>Regional clustering within the hospital network influences MRSA spread, with larger clusters exhibiting higher MRSA rates.</t>
  </si>
  <si>
    <t>The English hospital network is more permeable to MRSA spread than the Dutch network, due to higher patient-sharing rates.</t>
  </si>
  <si>
    <t>Clarke_2018</t>
  </si>
  <si>
    <t>Guiding interoperable electronic health records through patient-sharing networks</t>
  </si>
  <si>
    <t>Clarke JM; Warren LR; Arora S; Barahona M; Darzi AW</t>
  </si>
  <si>
    <t>NPJ digital medicine</t>
  </si>
  <si>
    <t>To identify patient-sharing patterns between hospitals in England and use these pattzerns to propose local and regional data-sharing strategies for better interoperability</t>
  </si>
  <si>
    <t>The hospital and LSOA (Lower Layer Super Output Area) constituents of each data-sharing community are available from the authors on request.</t>
  </si>
  <si>
    <t>19682360 (en tout dans la base) / 4162780 went more than once</t>
  </si>
  <si>
    <t>degree, weighted degree (i think it's the name? nb of shared patients between hospitals), modularity (extent to which hospitals form well-defined communities), community detection (Louvain modularity optimization), density</t>
  </si>
  <si>
    <t>degree, weighted degree, modularity, density, community detection,</t>
  </si>
  <si>
    <t>patient-sharing between hospitals is extensive and follows clear geographic patterns, forming 10 well-defined data-sharing communtiies</t>
  </si>
  <si>
    <t>a local, community-based approach to hospital interoperability could improve patient information sharing more effectively than a national system</t>
  </si>
  <si>
    <t>hospitals in highly interconnected regions experience more fragmented patient records, increasing the need for targeted interoperability solutions</t>
  </si>
  <si>
    <t>Nekkab_2017</t>
  </si>
  <si>
    <t>Spread of hospital-acquired infections: A comparison of healthcare networks</t>
  </si>
  <si>
    <t>Narimane Nekkab ; Pascal Crépey ; Pascal Astagneau ; Laura Temime</t>
  </si>
  <si>
    <t>Better understand how to reduce the potential scale of HAI epidemic sptread by exploring patient transfer patterns in the French healthcare system</t>
  </si>
  <si>
    <t>PMSI</t>
  </si>
  <si>
    <t>Access to the PMSI was granted following the criteria set by the CNIL. Due to privacy concerns, the data cannot be publicly shared. Requests for access can be made via demande_base@atih.sante.fr</t>
  </si>
  <si>
    <t>France</t>
  </si>
  <si>
    <t>degree, out-greee, in-degree ; weighted degree ; betweenness ; closeness ; diameter ; average path length ; global clustering coefficient ; density ; modularity</t>
  </si>
  <si>
    <t>number of edges, number of nodes, average degree centrality, average network strength, density, average degree centrality, average in-degree centrality, average out-degree centrality, average betweenness centrality, average closeness centrality, global transitivity, average path length, network diameter, modularity</t>
  </si>
  <si>
    <t>The general patient network structure is consistent across different patient groups and can serve as a reliable proxy for HAI spread modeling.</t>
  </si>
  <si>
    <t>Key hospital hubs and interregional patient transfer patterns were identified, emphasizing their role in potential outbreak propagation and control strategies.</t>
  </si>
  <si>
    <t>Regional and departmental clusters in patient flow suggest the need for targeted, multi-scale infection control strategies</t>
  </si>
  <si>
    <t>Nekkab_2020</t>
  </si>
  <si>
    <r>
      <t>Assessing the role of inter-facility patient transfer in the spread of carbapenemase-producing</t>
    </r>
    <r>
      <rPr>
        <i/>
        <sz val="11"/>
        <color theme="1"/>
        <rFont val="Calibri"/>
        <family val="2"/>
        <scheme val="minor"/>
      </rPr>
      <t xml:space="preserve"> Enterobacteriaceae</t>
    </r>
    <r>
      <rPr>
        <sz val="11"/>
        <color theme="1"/>
        <rFont val="Calibri"/>
        <family val="2"/>
        <scheme val="minor"/>
      </rPr>
      <t>: the case of France between 2012 and 2015</t>
    </r>
  </si>
  <si>
    <t>Nekkab N; Crépey P; Astagneau P; Opatowski L; Temime L</t>
  </si>
  <si>
    <t>Scientific Reports</t>
  </si>
  <si>
    <t>To assess the extent to which patient transfers may have contributed to the transition from regional to inter-regional spread of CPE in France</t>
  </si>
  <si>
    <t>Network not available. However, aggregated network data and figures are available upon request.</t>
  </si>
  <si>
    <t>edge weights (=weighted degree?), shortest path distance using Dijkstra's algorithm</t>
  </si>
  <si>
    <t>weighted degree, shortest path distance</t>
  </si>
  <si>
    <t>Carbapenem-Resistant Enterobacterales</t>
  </si>
  <si>
    <t>After testing positive for MRSA, pateints were transferred to less central units, likely as a precautionary measure, reducing the risk of larger outbreak</t>
  </si>
  <si>
    <t>patient turnover (= average number of patients entering the unit per day) was a stronger predictor of outbreak size than static centrality measures, emphasizing the importance of monitoring dynamic patient movement</t>
  </si>
  <si>
    <t>a more structured patient flow could help compartementalize infections and recude outbreak sizes</t>
  </si>
  <si>
    <t>Chrusciel_2021</t>
  </si>
  <si>
    <t>Making sense of the French public hospital system: a network-based approach to hospital clustering using unsupervised learning methods</t>
  </si>
  <si>
    <t>Chrusciel J; Le Guillou A; Daoud E; Laplanche D; Steunou S; Clément MC; Sanchez S</t>
  </si>
  <si>
    <t>To identify clusters of French public hospitals based on their characteristics and their role in the hospital network, and to describe patterns of patient mobility using unsupervised learning and social network analysis</t>
  </si>
  <si>
    <r>
      <t xml:space="preserve">The data are </t>
    </r>
    <r>
      <rPr>
        <b/>
        <sz val="11"/>
        <color theme="1"/>
        <rFont val="Calibri"/>
        <family val="2"/>
        <scheme val="minor"/>
      </rPr>
      <t>not publicly available</t>
    </r>
    <r>
      <rPr>
        <sz val="11"/>
        <color theme="1"/>
        <rFont val="Calibri"/>
        <family val="2"/>
        <scheme val="minor"/>
      </rPr>
      <t xml:space="preserve"> due to legal restrictions under the </t>
    </r>
    <r>
      <rPr>
        <b/>
        <sz val="11"/>
        <color theme="1"/>
        <rFont val="Calibri"/>
        <family val="2"/>
        <scheme val="minor"/>
      </rPr>
      <t>MR005 legal framework</t>
    </r>
    <r>
      <rPr>
        <sz val="11"/>
        <color theme="1"/>
        <rFont val="Calibri"/>
        <family val="2"/>
        <scheme val="minor"/>
      </rPr>
      <t xml:space="preserve">, but </t>
    </r>
    <r>
      <rPr>
        <b/>
        <sz val="11"/>
        <color theme="1"/>
        <rFont val="Calibri"/>
        <family val="2"/>
        <scheme val="minor"/>
      </rPr>
      <t>aggregated and anonymized data</t>
    </r>
    <r>
      <rPr>
        <sz val="11"/>
        <color theme="1"/>
        <rFont val="Calibri"/>
        <family val="2"/>
        <scheme val="minor"/>
      </rPr>
      <t xml:space="preserve"> may be requested with permission from the </t>
    </r>
    <r>
      <rPr>
        <b/>
        <sz val="11"/>
        <color theme="1"/>
        <rFont val="Calibri"/>
        <family val="2"/>
        <scheme val="minor"/>
      </rPr>
      <t>Agence Technique de l’Information sur l’Hospitalisation (ATIH)</t>
    </r>
  </si>
  <si>
    <t>90 days</t>
  </si>
  <si>
    <t>degree (directed and undirected), assortativity, transitivity, edge density.</t>
  </si>
  <si>
    <t>degree, in-degree, out-degree, assortativity, transitivity, density</t>
  </si>
  <si>
    <t>clustering analysis (k-means clustering), mobility patterns</t>
  </si>
  <si>
    <t>french public hospitals cluster into three main groups with distinct roles: large hospitals (specialized care), medium-sized hospitals (geenral care), smaller hospitals(localized care with higher patient mobility)</t>
  </si>
  <si>
    <t>patient mobility is predominantly directed toward larger hospitals, indicating an unbalanced, centralized network structure</t>
  </si>
  <si>
    <t>Tang_2020</t>
  </si>
  <si>
    <t>Do Chinese hospital services constitute an oligopoly? Evidence of the rich-club phenomenon in a patient referral network</t>
  </si>
  <si>
    <t>Tang, C.; Dong, X.; Lian, Y.; Tang, D.</t>
  </si>
  <si>
    <t>Future Generation Computer Systems</t>
  </si>
  <si>
    <t>Computer Science</t>
  </si>
  <si>
    <t>To investigate the rich-club phenomenon in the Chinese patient referral network and assess the dominance of Class-III hospitals, providing evidence of an oligopoly in healthcare services</t>
  </si>
  <si>
    <t>New Cooperative Medical System dataset, China</t>
  </si>
  <si>
    <t>No specifications on whether the data is available.</t>
  </si>
  <si>
    <t>10 days</t>
  </si>
  <si>
    <t>China</t>
  </si>
  <si>
    <t>Degree distribution, Weighted degree distribution, Global rich-club coefficients to identify dominant hospitals, Local rich-club coefficient to measure individual hospital connections with elite hospitals; Assortativity coefficient to analyze hospital-hospital connectivity patterns; Community detection with Louvain modularity optimization</t>
  </si>
  <si>
    <t>degree, weighted degree, global rich-club coefficient, local rich-club coefficient, assortativity, community detection</t>
  </si>
  <si>
    <t>China’s hospital referral network exhibits a strong "rich-club" effect, dominated by a few elite Class-III hospitals.</t>
  </si>
  <si>
    <t>The two-way referral mechanism intended to balance patient distribution has not been effective, as patients still overwhelmingly prefer top-tier hospitals.</t>
  </si>
  <si>
    <t>Regional clustering plays a significant role in referral patterns, as hospitals in the same province tend to form tightly connected communities.</t>
  </si>
  <si>
    <t>Ray_2016</t>
  </si>
  <si>
    <t>Spread of carbapenem-resistant Enterobacteriaceae among Illinois healthcare facilities: the role of patient sharing</t>
  </si>
  <si>
    <t>Ray MJ; Lin MY; Weinstein RA; Trick WE</t>
  </si>
  <si>
    <t>Determine whether greater connectedness (centrality) to other healthcare faciltiies and greater pateint sharing with long-term acute care hospitals (LTACHs) predicted higher facility CRE rates.</t>
  </si>
  <si>
    <t>Illinois department of public health hospital discharge dataset</t>
  </si>
  <si>
    <t>0.25</t>
  </si>
  <si>
    <t>The data is available with an access authorization</t>
  </si>
  <si>
    <t>Illinois</t>
  </si>
  <si>
    <t>degree, eigenvector (importance of a hospital based on connections to highly connected hospitals)</t>
  </si>
  <si>
    <t>degree, eigenvector centrality</t>
  </si>
  <si>
    <t>modèle statistique, régression du nb de facility-level CRE cases per 10 000 pateint-days en fonction du degree, eigenvector, nb of beds, nb of patients shared with LTACHs</t>
  </si>
  <si>
    <t>Hospitals with higher degree centrality had significantly higher CRE (Carbapenem-resistant Enterobacteriaceae) rates, indicating that patient-sharing plays a key role in pathogen spread.</t>
  </si>
  <si>
    <t>The effect of hospital connectedness on CRE rates was stronger in rural areas, highlighting potential disparities in infection control measures.</t>
  </si>
  <si>
    <t>Long-term acute care hospitals (LTACHs) acted as hubs for CRE transmission, reinforcing their role in regional pathogen dissemination and the need for targeted interventions.</t>
  </si>
  <si>
    <t>Ray_2018</t>
  </si>
  <si>
    <t>Regional spread of an outbreak of carbapenem-resistant Enterobacteriaceae through an ego network of healthcare facilities</t>
  </si>
  <si>
    <t>Ray MJ; Lin MY; Tang AS; Arwady MA; Lavin MA; Runningdeer E; Jovanov D; Trick WE</t>
  </si>
  <si>
    <t>Explore the regional propagation of an outbreak of carbapenem-resistant Enterobacteriaceae by a network of connected hospitals, by reconstructing ego networks</t>
  </si>
  <si>
    <t>degree, ego network analysis (identifying facilities most connected to a central hospital)</t>
  </si>
  <si>
    <t>degree</t>
  </si>
  <si>
    <t>Corrélation entre partage de patients et cas de CRE signalés.</t>
  </si>
  <si>
    <t>Comparaison entre réseau ego et proximité géographique (test de Wilcoxon).</t>
  </si>
  <si>
    <t>Ego network analysis successfully predicted which hospitals outbreak patients would visit next, helping identify high-risk facilities.</t>
  </si>
  <si>
    <t>Hospitals with strong patient-sharing ties to an outbreak hospital were significantly more likely to report additional cases of NDM-producing E. coli.</t>
  </si>
  <si>
    <t>Using ego networks could improve public health responses by prioritizing interventions in hospitals most likely to receive infected patients.</t>
  </si>
  <si>
    <t>Caimo_2017</t>
  </si>
  <si>
    <t>Bayesian exponential random graph modelling of intehrospital patient referral networks</t>
  </si>
  <si>
    <t>Caimo A; Pallotti F; Lomi A</t>
  </si>
  <si>
    <t>Creating and analysing Bayesian exponential random graph models, with the application of patient referral relations among hospitals</t>
  </si>
  <si>
    <t>Italy's Servizio Sanitario Nazionale (SSN)</t>
  </si>
  <si>
    <t>The data are publicly available ("Using publicly available data on transferred patients during the year 2007")</t>
  </si>
  <si>
    <t>Lazio</t>
  </si>
  <si>
    <t>density, mutuality, average path length, clustering coefficient, average path length, 2-in-star statistic (tendency of nodes to cluster together), 2-out star statistic (tendency of nodes to send multiple referrals), mixed 2 star statistic (measures correlation between incoming and outgoing referrals, Geometrically Weighted In-Degree (distribution of in-degree tendencies), Geometrically Weighted Out-degree (distribution of out-degree tendencies), Geometrically Weighted Non-Edgewise Shared Partners (measuring indirect network ties), Geometrically weighted edgewise shared partners (captures network closure through sqhared partners)</t>
  </si>
  <si>
    <t>density,  reciprocity, average geodesic distance, global clustering coefficient, 2-in star statistic, 2-out star statistic, mixed 2-star statistic, weighted in-degree, weighted out-degree, weighted non-edgewise shared partners, weighted edgewise shared partners</t>
  </si>
  <si>
    <t>bayesian exponential random graph modelling</t>
  </si>
  <si>
    <t>Patient referrals in Lazio exhibit a high level of reciprocity and clustering, suggesting that hospital collaborations form cohesive and closed structures.</t>
  </si>
  <si>
    <t>Hospitals with higher capacity (beds, occupancy rates) and closer proximity are more likely to exchange patients, emphasizing the importance of organizational and geographic factors.</t>
  </si>
  <si>
    <t>Lomi_2012</t>
  </si>
  <si>
    <t>Relational collaboration among spatial multipoint competitors</t>
  </si>
  <si>
    <t>Lomi A ; Pallotti F</t>
  </si>
  <si>
    <t>Social Networks</t>
  </si>
  <si>
    <t>To investigate how spatial multipoint contact (=competeition or interaction in multiple geographical locations at the same time) among hispitals influences the formation of collaborative networks, focusing on patient transfer relations</t>
  </si>
  <si>
    <t>Lazio healthcare information system</t>
  </si>
  <si>
    <t>Not specified</t>
  </si>
  <si>
    <t>density, reciprocity, mixed 2 star, popularity spread, activity spread, path closure, cyclic closure, activity-based closure, popularity-based closure, multiple connectivity (tendency to establish multiple indirect connections between hospitals)​</t>
  </si>
  <si>
    <t>density, reciprocity, mixed 2-star statistic, popularity spread, activity spread, cyclic closure, activity-based closure</t>
  </si>
  <si>
    <t>Modèles de graphes aléatoires exponentiels (ERGM) pour examiner les effets des contacts multipoints et d'autres facteurs sur la probabilité d'observer des liens de transfert.</t>
  </si>
  <si>
    <t>Hospitals competing across multiple geographic market segments are significantly more likely to establish collaborative transfer relationships.</t>
  </si>
  <si>
    <t>The hospital transfer network demonstrates a core-periphery structure, shaped by mechanisms of triadic and cyclic closure.</t>
  </si>
  <si>
    <t>Competition dynamics, including spatial proximity and market overlap, play a central role in structuring interhospital collaborations</t>
  </si>
  <si>
    <t>Berta_2022</t>
  </si>
  <si>
    <t>The association between hospital cooperation and the quality of healthcare</t>
  </si>
  <si>
    <t>Berta, P.; Vinciotti, V.; Moscone, F.</t>
  </si>
  <si>
    <t>Regional studies</t>
  </si>
  <si>
    <t>To study the determinants of patient transfers and assess their association with hospital quality in Lombardy, Italy</t>
  </si>
  <si>
    <t>Lombardy healthcare information system</t>
  </si>
  <si>
    <t>1,541,996</t>
  </si>
  <si>
    <t>"over 900,000"</t>
  </si>
  <si>
    <t>Lombardy</t>
  </si>
  <si>
    <t>degree ; strength(=weighted degree), closeness, betweenness ; community detection to identify clusters of hospitals based on transfer patterns</t>
  </si>
  <si>
    <t>degree, weighted degree, closeness centralization, betweenness centralization, community detection</t>
  </si>
  <si>
    <t>Over-dispersed Poisson mixed model to predict patient flows using hospital characteristics and network structure.</t>
  </si>
  <si>
    <t xml:space="preserve">descriptive analyses to explore the erlationship between patient trasnfers and hospital quality </t>
  </si>
  <si>
    <t>Hospital cooperation through patient transfers is positively associated with overall hospital quality (measured by reduced mortality and readmission rates).</t>
  </si>
  <si>
    <t>Public hospitals are more engaged in patient transfers than private hospitals, and cooperation benefits are more pronounced in public hospitals.</t>
  </si>
  <si>
    <t>Geographical proximity and hospital centrality strongly influence transfer patterns, suggesting the need for region-specific transfer protocols.</t>
  </si>
  <si>
    <t>Bean_2017</t>
  </si>
  <si>
    <t>Network analysis of patient flow in two UK acute care hospitals identifies key sub-networks for A&amp;E performance</t>
  </si>
  <si>
    <t>Bean DM; Stringer C; Beeknoo N; Teo J; Dobson RJB</t>
  </si>
  <si>
    <t>Compare network flow during periods of high performance and low performance</t>
  </si>
  <si>
    <t>Hospital data from 2 acute care hospitals</t>
  </si>
  <si>
    <t>1.58</t>
  </si>
  <si>
    <t>The full dataset can be accessed by request to the Caldicott Guardian, King’s College Hospital NHS Foundation Trust research office (william.bernal@nhs.net) subject to local information governance regulatory framew</t>
  </si>
  <si>
    <t>London</t>
  </si>
  <si>
    <t>Weekly</t>
  </si>
  <si>
    <t>indegree, outdegree, edge weight variability score, clustering using this score</t>
  </si>
  <si>
    <t>in-degree, out-degree, edge weight variability score, clustering</t>
  </si>
  <si>
    <t>Belik_2016</t>
  </si>
  <si>
    <t>Control of epidemics on hospital networks</t>
  </si>
  <si>
    <t>Belik, V.; Hövel, P.; Mikolajczyk, R.</t>
  </si>
  <si>
    <t>To analyze patient transfer patterns across a hospital network in Germany and evaluate the impact of screening and isolation as control measures for pathogen spread using an agent-based computational model</t>
  </si>
  <si>
    <t>AOK Lower Saxony</t>
  </si>
  <si>
    <t>2009*</t>
  </si>
  <si>
    <t>Data not publicly available</t>
  </si>
  <si>
    <t>1654 (no mention of filter like Belik_2017)</t>
  </si>
  <si>
    <t>Approximately 2 million</t>
  </si>
  <si>
    <t>Approximately 918000</t>
  </si>
  <si>
    <t>Lower Saxony</t>
  </si>
  <si>
    <t>degree, in degree, out degree, modular structure of the network using the louvain algorithm (=modularity)</t>
  </si>
  <si>
    <t>degree, in-degree, out-degree, modularity</t>
  </si>
  <si>
    <t>sensitivity analysis of screening rates and their effect on prevalence reduction</t>
  </si>
  <si>
    <t>random screening of a fraction of incoming patients (in the cae of a positive screening test, the patient is isolated and cured before admission to the hospital)</t>
  </si>
  <si>
    <t>random screening of a fraction of incoming patients with decolonization and isolation of positive patients</t>
  </si>
  <si>
    <t>Belik_2017</t>
  </si>
  <si>
    <t>Leveraging topological and temporal structure of hospital referral networks for epidemic control</t>
  </si>
  <si>
    <t>Belik, V.; Karch, A ; Hövel, P.; Mikolajczyk, R.</t>
  </si>
  <si>
    <t>To analyze patient referral patterns in a large German region and evaluate the impact of hospital referral networks on epidemic dynamics using deterministic and agent-based models</t>
  </si>
  <si>
    <t>2 037 460</t>
  </si>
  <si>
    <t>917 834</t>
  </si>
  <si>
    <t>Daily</t>
  </si>
  <si>
    <t>1 network every day (so 1099 networks). They also reconstructed a static aggregated network.</t>
  </si>
  <si>
    <t>In-degree (number of incoming patient transfers per hospital), Out-degree (number of outgoing patient transfers per hospital), Edge activity (number of times a specific transfer occurs), Out-component size (number of hospitals reachable from a given hospital, considering temporal order), Jaccard coefficient (overlap between networks considering direct and indirect transfers), Causal fidelity (importance of temporal information compared to static aggregation), Accessibility matrix density (probability of reaching a node over time), Entropy of rank distributions (diversity in hospital rankings based on infection spread potential)</t>
  </si>
  <si>
    <t>in-degree, out-degree, edge activity, out-component size, Jaccard similarity, density</t>
  </si>
  <si>
    <t xml:space="preserve">nombre de transferts selon les jours de la semaine, comparaison des réseaux statique et dynamique </t>
  </si>
  <si>
    <t>random screening of 50% of incoming patients and subsequent decolonization and isolation for high out-degree hospitals, random screening of 50% of incoming patients and subsequent decolonization and isolation for high in-degree hospitals</t>
  </si>
  <si>
    <t>found in references of Xia_2021</t>
  </si>
  <si>
    <t>a purely static network would incorrectly estimate transmission risk by assuming all transfer links exist at all times</t>
  </si>
  <si>
    <t>Piotrowska_2020b</t>
  </si>
  <si>
    <t>Modelling pathogen spread in a healthcare network: indirect patient movements</t>
  </si>
  <si>
    <t>Piotrowska MJ; Sakowski K; Karch A; Tahir H; Horn J; Kretzschmar ME; Mikolajczyk R</t>
  </si>
  <si>
    <t>To study the contribution of indirect transfers to the spread of MDR pathogens in a healthcare network + To develop a hybrid network-deterministic model incorporating both direct and indirect transfers + To quantify the impact of indirect transfers on pathogen prevalence</t>
  </si>
  <si>
    <t>degree, indegree, outdegree ; community-node sizes</t>
  </si>
  <si>
    <t>degree, in-degree, out-degree, community-node sizes</t>
  </si>
  <si>
    <r>
      <t xml:space="preserve">Sensitivity analysis of </t>
    </r>
    <r>
      <rPr>
        <b/>
        <sz val="11"/>
        <color theme="1"/>
        <rFont val="Calibri"/>
        <family val="2"/>
        <scheme val="minor"/>
      </rPr>
      <t>length of stay, transfer probabilities, and pathogen parameters</t>
    </r>
    <r>
      <rPr>
        <sz val="11"/>
        <color theme="1"/>
        <rFont val="Calibri"/>
        <family val="2"/>
        <scheme val="minor"/>
      </rPr>
      <t>.</t>
    </r>
  </si>
  <si>
    <t>indirect transfers account for ~94% of patient movements and increase pathogen prevalence significantly (from 4.2% to 18%)</t>
  </si>
  <si>
    <t>higher patient turnover (shorter length of stay) reduces pathogen prevalence ; hospitals with longer stays have higher colonization rates</t>
  </si>
  <si>
    <t>excluding indirect transfers leads to underestimation of pathogen spread, highlighting their critical role in healthcare networks dynamics</t>
  </si>
  <si>
    <t>Piotrowska_2020a</t>
  </si>
  <si>
    <t>Impact of inter-hospital transfers on the prevalence of resistant pathogens in a hospital-community system</t>
  </si>
  <si>
    <t>Piotrowska MJ; Sakowski K; Lonc A; Tahir H; Kretzschmar ME</t>
  </si>
  <si>
    <t>Epidemics</t>
  </si>
  <si>
    <t>Epidemiology, Infectious Diseases</t>
  </si>
  <si>
    <t>To analyze the impact of inter-hospital patient transfers on the prevalence of resistant pathogens within a hospital-community system using a mathematical modeling approach</t>
  </si>
  <si>
    <t>AOK Lower Saxony : 2008-2015 ; AOK Plus : 2010-2016</t>
  </si>
  <si>
    <t>AOK Lower Saxony: 8 years, AOK Plus: 7 years</t>
  </si>
  <si>
    <t>Lower Saxony: 223; Saxony: 88; Thuryngia: 46</t>
  </si>
  <si>
    <t>5,254,492 (AOK Lower Saxony), 4,826,823 (AOK Plus).</t>
  </si>
  <si>
    <t>Lower Saxony, Savony, Thuringia (2 networks)</t>
  </si>
  <si>
    <t>no; general population covered by the health insurance</t>
  </si>
  <si>
    <t>indegree, outdegree, diameter, radius, average degree, shortest path</t>
  </si>
  <si>
    <t>in-degree, out-degree,  network diameter, radius, average degree centrality, shortest path</t>
  </si>
  <si>
    <t>MDR Enterobacterales</t>
  </si>
  <si>
    <t>1. increasing screening and decolonization at hospital admission 2. modifying patient transfer patterns</t>
  </si>
  <si>
    <t>random screening of a fraction of incoming patients with decolonization and isolation of positive patients, modifying patient transfer patterns</t>
  </si>
  <si>
    <t>high-prevalence hospitals act as reservoirs, spreading resistant pathogens to low-prevalence hospitals</t>
  </si>
  <si>
    <t>increasing inter-hospitakl pateitn trasnfers tends to dilute prevalence rather than increase it</t>
  </si>
  <si>
    <t>screening at admission and re'ducing readmissions can help lower prevalence in affected hospitals</t>
  </si>
  <si>
    <t>Tun_2021</t>
  </si>
  <si>
    <r>
      <t xml:space="preserve">Ward-level factors associated with methicillin-resistant </t>
    </r>
    <r>
      <rPr>
        <i/>
        <sz val="11"/>
        <color theme="1"/>
        <rFont val="Calibri"/>
        <family val="2"/>
        <scheme val="minor"/>
      </rPr>
      <t>Staphylococcus aureus</t>
    </r>
    <r>
      <rPr>
        <sz val="11"/>
        <color theme="1"/>
        <rFont val="Calibri"/>
        <family val="2"/>
        <scheme val="minor"/>
      </rPr>
      <t xml:space="preserve"> acquisition - an electronic medical records study in Singapore</t>
    </r>
  </si>
  <si>
    <t>Tun ZM; Fisher DA; Salmon S; Tam CC</t>
  </si>
  <si>
    <t>To investigate the role of ward characteristics and patient transfer connectivity in MRSEA acquisition rates in a Singapore tertiary hospital</t>
  </si>
  <si>
    <t>Patient Affordability Simulation System, originated from the National University Hospital Electronic Medical Records (NUH EMR) in Singapore</t>
  </si>
  <si>
    <t>"a datamart within Singapore regional health system database" no additional info</t>
  </si>
  <si>
    <t>Singapore</t>
  </si>
  <si>
    <t>wieghted indegree ; in-degree</t>
  </si>
  <si>
    <t>weighted in-degree, in-degree</t>
  </si>
  <si>
    <t>Mixed-effects Poisson regression to model MRSA acquisition as a function of ward-level factors (e.g., MRSA prevalence, patient transfers).</t>
  </si>
  <si>
    <t>Sensitivity analyses to account for missing MRSA screening data and its effect on model results.</t>
  </si>
  <si>
    <t>Wards with higher MRSA prevalence among patients transferred from other wards were more likely to have higher MRSA acquisition rate</t>
  </si>
  <si>
    <t>Its effect further increased in wards receiving 'greater number of patients.</t>
  </si>
  <si>
    <t>In addition, critical care ward, presence of MRSA cohorting beds, ward specialty, and median length of stay were associated with MRSA acquisition.</t>
  </si>
  <si>
    <t>Donker_2010</t>
  </si>
  <si>
    <t>Patient Referral Patterns and the Spread of Hospital-Acquired Infections through National Health Care Networks</t>
  </si>
  <si>
    <t>Tjibbe Donker ; Jacco Wallinga ; Hajo Grundmann</t>
  </si>
  <si>
    <t>To evaluate how patient referral patterns in the Dutch national healthcare network influence the spread of hospital-acquired infections like MRSA.</t>
  </si>
  <si>
    <t>Landelijke Medische Registratie (LMR)</t>
  </si>
  <si>
    <t>for privacy protection, they could not use the data at individual record level for detailed analysis. They used a simulated dataset based on the recorded frequencies which descrines the individual patient referral patterns that is consistent with the observed patient characteristics.</t>
  </si>
  <si>
    <t>Netherlands</t>
  </si>
  <si>
    <t>degree ; outdegree ; indegree</t>
  </si>
  <si>
    <t>degree, out-degree, in-degree</t>
  </si>
  <si>
    <t>Patient referral patterns have a profound effect on the spread of healthcare-associated infections like hospital-acquired MRSA</t>
  </si>
  <si>
    <t>Any comparison of MRSA rates between hospitals, as a benchmark for hospital hygiene, should therefore take the position of a hospital within the network into account.</t>
  </si>
  <si>
    <t>vandenDool_2016</t>
  </si>
  <si>
    <t>The role of nursing homes in the spread of antimicrobial resistance over the healthcare network</t>
  </si>
  <si>
    <t>van den Dool C; Haenen A; Leenstra T; Wallinga J</t>
  </si>
  <si>
    <t>Epidemiology</t>
  </si>
  <si>
    <t>To investigate the role of nursing homes in the spread of AMR across the Dutch healthcare network and to assess their importance in regional and national infection control strategies</t>
  </si>
  <si>
    <t>Netherlands Sentinel Surveillance Network on Infectious diseases in nursing homes (SNIV) + Landelijke Medische Registratie (LMR)</t>
  </si>
  <si>
    <t>flow between nursing homes and hospitals : 2012-2014. hospital transfer data : 2004.</t>
  </si>
  <si>
    <t>flow between nursing homes and hospitals : 3 years. hospital transfer data : 1 year</t>
  </si>
  <si>
    <t>1 network every day (simulé à partir de données yearly pour hospitals and weekly for nursing homes, un peu bizarre)</t>
  </si>
  <si>
    <t>Assareh_2017</t>
  </si>
  <si>
    <t>Exploring interhospital transfers and partnerships in the hospital sector in New South Wales, Australia</t>
  </si>
  <si>
    <t>Assareh H; Achat HM; Levesque JF; Leeder SR</t>
  </si>
  <si>
    <t>Australian Health Review</t>
  </si>
  <si>
    <t>Public health</t>
  </si>
  <si>
    <t>To analyze the characteristics and patterns of interhospital transfers in New South Wales, Australia, and to explore partnerships through patient sharing networks</t>
  </si>
  <si>
    <t>NSW APDC</t>
  </si>
  <si>
    <t>data accessed remotely through a system made available bt NSW CEE. No additional information</t>
  </si>
  <si>
    <t>New South Wales</t>
  </si>
  <si>
    <t>Australia</t>
  </si>
  <si>
    <t>Analysis of patient demographics (age, sex), morbidity burden, and hospital characteristics (peer group, public/private sector).
Examined directional transfer patterns (e.g., up-transfers to higher-level hospitals, down-transfers to smaller facilities, side-transfers within peer groups).</t>
  </si>
  <si>
    <t>patterns of transfer and partnerships were influenced by organizational preferences and geographic proximity (public hospitals engaging in more transfers than private ones)</t>
  </si>
  <si>
    <t>Spilsbury_2015</t>
  </si>
  <si>
    <t>Cross border hospital use: analysis using data linkage across four Australian states</t>
  </si>
  <si>
    <t>Spilsbury K; Rosman D; Alan J; Boyd JH; Ferrante AM; Semmens JB</t>
  </si>
  <si>
    <t>Medical Journal of Australia</t>
  </si>
  <si>
    <t>To determine the quality and effectiveness of national data linkage capacity by investigating cross-border hospital use and hospital-related deaths + To evaluate the impact of cross-juridictional linkage on hospital mortality estimation</t>
  </si>
  <si>
    <t>NSW APDC, SA-NT DataLink, WA Hospital Morbidity Data, Queensland Hospital Admitted Patient Data</t>
  </si>
  <si>
    <t>different sources of data according to Australian states, no additional information</t>
  </si>
  <si>
    <t>19 million hospital stays (mais pas tous impliquant un transfert)</t>
  </si>
  <si>
    <t>7,7 million (mais tous ne sont pas transférés)</t>
  </si>
  <si>
    <t>no tools to analyse the network</t>
  </si>
  <si>
    <t>Bush_2019</t>
  </si>
  <si>
    <r>
      <t xml:space="preserve">Predicting hospital-onset </t>
    </r>
    <r>
      <rPr>
        <i/>
        <sz val="11"/>
        <color theme="1"/>
        <rFont val="Calibri"/>
        <family val="2"/>
        <scheme val="minor"/>
      </rPr>
      <t>Clostridium difficile</t>
    </r>
    <r>
      <rPr>
        <sz val="11"/>
        <color theme="1"/>
        <rFont val="Calibri"/>
        <family val="2"/>
        <scheme val="minor"/>
      </rPr>
      <t xml:space="preserve"> using patient mobility data: A network approach</t>
    </r>
  </si>
  <si>
    <t>Bush K; Barbosa H; Farooq S; Weisenthal SJ; Trayhan M; White RJ; Noyes EI; Ghoshal G; Zand MS</t>
  </si>
  <si>
    <r>
      <t xml:space="preserve">Examine the relationship between unit-wide </t>
    </r>
    <r>
      <rPr>
        <i/>
        <sz val="11"/>
        <color theme="1"/>
        <rFont val="Calibri"/>
        <family val="2"/>
        <scheme val="minor"/>
      </rPr>
      <t>Clostridium difficile</t>
    </r>
    <r>
      <rPr>
        <sz val="11"/>
        <color theme="1"/>
        <rFont val="Calibri"/>
        <family val="2"/>
        <scheme val="minor"/>
      </rPr>
      <t xml:space="preserve"> infection (CDI) susceptibility and inpatient mobility and to create contagion centrality as a new predictive measure of CDI</t>
    </r>
  </si>
  <si>
    <t>Hospital data from a hospital in New-York</t>
  </si>
  <si>
    <t>No information on availibility of data. Data were coded such that patients could not be identified directly in compliance with the Department of Health and Human Services Regulations for the Protection of Human Subjects</t>
  </si>
  <si>
    <t>indegree, wiefghted in degree, closeness, PageRank. Consideration of additional centralities (outdegree, eigenvector, betweenness, … ) but not presented in the article. development of "contagion centrality"</t>
  </si>
  <si>
    <t>in-degree, weighted in-degree, closeness, PageRank, contagion centrality</t>
  </si>
  <si>
    <t>Cioffi_2018</t>
  </si>
  <si>
    <t>A network-theoretic analysis of hospital admission, transfer and discharge data</t>
  </si>
  <si>
    <t>Cioffi M; Mukhtar N; Ryan NC; Klobusicky JJ</t>
  </si>
  <si>
    <t>AMIA Joint Summits on Translational Science proceedings</t>
  </si>
  <si>
    <t>Comprehending complex behavior of flow within a graph, with the application of a hospital system</t>
  </si>
  <si>
    <t>Geisinger Health System data</t>
  </si>
  <si>
    <t>2.25</t>
  </si>
  <si>
    <t>hospital data of patients which permitted the use of their data for research purposes.</t>
  </si>
  <si>
    <t>in and out strength centrality (number of patients who have flowed into the node considered over a dataset's time range) ; closeness centrality ; betweenness centrality ; in and out eigenvector centrality</t>
  </si>
  <si>
    <t>in-strength, out-strength,closeness centrality, betweenness centrality, eigenvector centrality</t>
  </si>
  <si>
    <t>Although high-risk clones spread quickly within healthcare collectives because of the numerous pateints shared at that level, the dispersal is much slower between collectives</t>
  </si>
  <si>
    <t>It is possible to reduce intercollective contact between hospitals, and nationwide dispersal of hospital-acquired pathogens, by redirecting at least some of the patients who were bound for an ‘external’ admission to their own residential healthcare collective.</t>
  </si>
  <si>
    <t>the creation of national specialist centres, currently favoured in many European countries for economic reasons, will receive patients from all collectives, facilitate nationwide spread and may ultimately stifle infection control measures.</t>
  </si>
  <si>
    <t>DiDiodato_2018</t>
  </si>
  <si>
    <r>
      <t xml:space="preserve">Interhospital patient transfers between Ontario's academic and large community hospitals increase the risk of </t>
    </r>
    <r>
      <rPr>
        <i/>
        <sz val="11"/>
        <color theme="1"/>
        <rFont val="Calibri"/>
        <family val="2"/>
        <scheme val="minor"/>
      </rPr>
      <t>Clostridium difficile</t>
    </r>
    <r>
      <rPr>
        <sz val="11"/>
        <color theme="1"/>
        <rFont val="Calibri"/>
        <family val="2"/>
        <scheme val="minor"/>
      </rPr>
      <t xml:space="preserve"> infection</t>
    </r>
  </si>
  <si>
    <t>DiDiodato G; McArthur L</t>
  </si>
  <si>
    <t>American Journal of Infection Control</t>
  </si>
  <si>
    <t>Epidemiology, Health Policy, Infectious Diseases</t>
  </si>
  <si>
    <t>Determine the impact of interhospital patient transfers on the risk of Clostridium difficile infection (CDI)</t>
  </si>
  <si>
    <t>no additional info on data</t>
  </si>
  <si>
    <t>167020 or 167040</t>
  </si>
  <si>
    <t>Canada</t>
  </si>
  <si>
    <t>NA (à part CDI score, which is a modification of weighted indegree which also accounts for the total number of HA-CDI cases from that sending hospital)</t>
  </si>
  <si>
    <t>multilevel mixed-effect Poisson regression model of CDI cases. Other covzariates : year, CDI testing strategy, antimicrobial stewardship program, critetria used for patient isolation</t>
  </si>
  <si>
    <t>Most AMR introductions occur within the same referral region, even if prevalence in other regions is higher.</t>
  </si>
  <si>
    <t>Screening strategies should prioritize intra-regional patient transfers rather than focusing solely on cross-regional movements.</t>
  </si>
  <si>
    <t>Regional coordination of AMR screening and control measures is critical to limiting the spread of CPE.</t>
  </si>
  <si>
    <t>Rankin_2020</t>
  </si>
  <si>
    <t>Social network analysis of patient movement across health care entities in Orange County, Florida</t>
  </si>
  <si>
    <t>Rankin DA; Matthews SD</t>
  </si>
  <si>
    <t>Public Health Reports</t>
  </si>
  <si>
    <t>To evaluate patient movements within and between healthcare facilities in Orange County, Florida, and surrounding counties using social network analysis to inform local public health interventions for multidrug-resistant organisms (MDROs).</t>
  </si>
  <si>
    <t>USA national healthcare system</t>
  </si>
  <si>
    <t>County : 46 ;Regional: 82</t>
  </si>
  <si>
    <t>Orange County and the Central Florida region, USA (2 networks)</t>
  </si>
  <si>
    <t>density, reciprocity, indegree, outdegree, betweenness</t>
  </si>
  <si>
    <t>density, reciprocity, in-degree, out-degree, betweenness</t>
  </si>
  <si>
    <t>acute care hospitals in OC were central to patient movement within the county network, whereas post-acute care and other facilities played larger roles in the regional network</t>
  </si>
  <si>
    <t>both networks were sparse, indicating limited direct connectivity between facilities</t>
  </si>
  <si>
    <t>social network analysis can identify key faciltiies for targeted MDRO interventions and improve local infection prevention strategies</t>
  </si>
  <si>
    <t>Bartsch_2014</t>
  </si>
  <si>
    <t>The spread and control of norovirus outbreaks among hospitals in a region : a simulation model</t>
  </si>
  <si>
    <t>Bartsch SM; Huang SS; Wong KF; Avery TR; Lee BY</t>
  </si>
  <si>
    <t>Open Forum Infectious Diseases</t>
  </si>
  <si>
    <t>Simulating outbreaks in an already reconstructed network</t>
  </si>
  <si>
    <t>OSHPD database + national Long Term Care Minimum Data Set + Surveys of LTCF</t>
  </si>
  <si>
    <t>Health insurance databases,  Survey databases</t>
  </si>
  <si>
    <t>2006*</t>
  </si>
  <si>
    <t>Norovirus</t>
  </si>
  <si>
    <t>Norovirus outbreaks can spread from a single hospital to others within a county, even when initially appearing unrelated.</t>
  </si>
  <si>
    <t>Implementing contact precautions for symptomatic patients reduces the overall probability and scale of spread, though it may not fully prevent it.</t>
  </si>
  <si>
    <t>Chang_2016</t>
  </si>
  <si>
    <r>
      <t xml:space="preserve">Identifying the effect of patient sharing on between-hospital genetic differenciation of methicillin-resistant </t>
    </r>
    <r>
      <rPr>
        <i/>
        <sz val="11"/>
        <color theme="1"/>
        <rFont val="Calibri"/>
        <family val="2"/>
        <scheme val="minor"/>
      </rPr>
      <t>Staphylococcus aureus</t>
    </r>
  </si>
  <si>
    <t>Chang HH; Dordel J; Donker T; Worby CJ; Feil EJ; Hanage WP; Bentley SD; Huang SS; Lipsitch M</t>
  </si>
  <si>
    <t>Genome Medicine</t>
  </si>
  <si>
    <t>Genetics</t>
  </si>
  <si>
    <t>To determine the effect of patient sharing between hospitals on genetic differentiation of S. aureus populations</t>
  </si>
  <si>
    <t>indegree</t>
  </si>
  <si>
    <t>patient sharing between hospitals facilitates high levels of gene flow, diluting genetic differenciation of MRSA populations</t>
  </si>
  <si>
    <t>Coalescent simulations support the hypothesis that gene flow via patient sharing impacts population structure significantly in regions with high connectivity.</t>
  </si>
  <si>
    <t>Huang_2010</t>
  </si>
  <si>
    <t>Quantifying interhospital patient sharing as a mechanism for infectious disease spread</t>
  </si>
  <si>
    <t>Huang SS; Avery TR; Song Y; Elkins KR; Nguyen CC; Nutter SK; Nafday AA ; Condon CJ ; Chang MT; Chrest D; Boos J; Bobashev G; Wheaton W; Frank SA; Platt R; Lipsitch M; Bush RM; Eubank S; Burke DS; Lee BY</t>
  </si>
  <si>
    <r>
      <t xml:space="preserve">To quantify patient-sharing patterns between hospitals and assess their role in facilitating the spread of infectious diseases as </t>
    </r>
    <r>
      <rPr>
        <i/>
        <sz val="11"/>
        <color theme="1"/>
        <rFont val="Calibri"/>
        <family val="2"/>
        <scheme val="minor"/>
      </rPr>
      <t xml:space="preserve">Clostridium difficile </t>
    </r>
    <r>
      <rPr>
        <sz val="11"/>
        <color theme="1"/>
        <rFont val="Calibri"/>
        <family val="2"/>
        <scheme val="minor"/>
      </rPr>
      <t>and MRSA</t>
    </r>
  </si>
  <si>
    <t>OSHPD database</t>
  </si>
  <si>
    <t>temporal patterns of patient-sharing events (30-day, 84-day, …) ; patterns for patients with C.difficile</t>
  </si>
  <si>
    <t>indirect pateitn sharing accounted for 94% of interhospital sharing events</t>
  </si>
  <si>
    <t>patient-sharing patterns vary significantly between hospitals. Hospitals that share many pateints with other hospitals are key nodes for disease transmission.</t>
  </si>
  <si>
    <t>Effective control of hospital-associated infections requires accounting for indirect patient-sharing events, as they occur without direct communication between hospitals.</t>
  </si>
  <si>
    <t>Ke_2012</t>
  </si>
  <si>
    <r>
      <t xml:space="preserve">Patient sharing and population genetic structure of methicillin-resistant </t>
    </r>
    <r>
      <rPr>
        <i/>
        <sz val="11"/>
        <color theme="1"/>
        <rFont val="Calibri"/>
        <family val="2"/>
        <scheme val="minor"/>
      </rPr>
      <t>Staphylococcus aureus</t>
    </r>
  </si>
  <si>
    <t>Ke W; Huang SS; Hudson LO; Elkins KR; Nguyen CC; Spratt BG; Murphy CR; Avery TR; Lipsitch M</t>
  </si>
  <si>
    <t>To examine how patient sharing between hospitals influences the genetic differentiation of MRSA populations and identify correlations between patient transfer networks and MRSA genetic diversity.</t>
  </si>
  <si>
    <t>294910 (obtenu en additionnant les chiffres dans Table S1)</t>
  </si>
  <si>
    <t>Patient sharing significantly impacts the genetic differentiation of MRSA populations across hospitals, with more patient sharing correlating with higher genetic similarity.</t>
  </si>
  <si>
    <t>Hospital networks with extensive patient sharing require coordinated infection control strategies to manage MRSA spread.</t>
  </si>
  <si>
    <t>limitation: lack of temporal dynamics, incomplete representation of all pateint movements</t>
  </si>
  <si>
    <t>Lee_2011a</t>
  </si>
  <si>
    <t>Social network analysis of patient sharing among hospitals in Orange County, California.</t>
  </si>
  <si>
    <t>Lee BY; McGlone SM; Song Y; Avery TR; Eubank S; Chang CC; Bailey RR; Wagener DK; Burke DS; Platt R; Huang SS</t>
  </si>
  <si>
    <t>American Journal of Public Health</t>
  </si>
  <si>
    <t>Determine how hospitals within Orange County are interconnected by patient sharing</t>
  </si>
  <si>
    <t>Publicly available secondary data</t>
  </si>
  <si>
    <t xml:space="preserve">geodesic distance ; diameter ; density ; degree ; in-degree ; out-degree ; betweenness </t>
  </si>
  <si>
    <t>degree, in-degree, out-degree, betweenness centrality, geodesic distance, average geodesic distance, network diameter, density</t>
  </si>
  <si>
    <t>multivariate associations between social network measures and hospital characteristics</t>
  </si>
  <si>
    <t>Hospitals in OC, California were highly and heterogeneously interconnected with each other</t>
  </si>
  <si>
    <t>Different hospitals influenced the network in different ways</t>
  </si>
  <si>
    <t>Applying social network principles and constructs to a region's hospitals may assist public heath officials, policymakers, hospital administrators, and researchers in designing interventions to monitor and control diseases</t>
  </si>
  <si>
    <t>Lee_2011b</t>
  </si>
  <si>
    <r>
      <t xml:space="preserve">Modeling the spread of methicillin-resistant </t>
    </r>
    <r>
      <rPr>
        <i/>
        <sz val="11"/>
        <color theme="1"/>
        <rFont val="Calibri"/>
        <family val="2"/>
        <scheme val="minor"/>
      </rPr>
      <t xml:space="preserve">Staphylococcus aureus </t>
    </r>
    <r>
      <rPr>
        <sz val="11"/>
        <color theme="1"/>
        <rFont val="Calibri"/>
        <family val="2"/>
        <scheme val="minor"/>
      </rPr>
      <t>(MRSA) outbreaks throughout the hospitals in Orange County, California</t>
    </r>
  </si>
  <si>
    <t>Lee BY; McGlone SM; Wong KF; Yilmaz SL; Avery TR; Song Y; Christie R; Eubank S; Brown ST; Epstein JM; Parker JI; Burke DS; Platt R; Huang SS</t>
  </si>
  <si>
    <t>To evaluate how MRSA outbreaks in individual hospitals affect the entire hospital network of Orange County, California using an agent-based model that simulates patient flow and MRSA transmission</t>
  </si>
  <si>
    <t>indegree, outdegree</t>
  </si>
  <si>
    <t>in-degree, out-degree</t>
  </si>
  <si>
    <t>Sensitivity analyses of parameters such as length of stay, MRSA carriage duration, and transmission rates.</t>
  </si>
  <si>
    <t>Even a small outbreak in one hospital (e.g., an ICU) can spread MRSA across the regional hospital network, affecting all hospitals to varying degrees.</t>
  </si>
  <si>
    <t>Larger and more connected hospitals have a disproportionate influence on the spread of MRSA throughout the network.</t>
  </si>
  <si>
    <t>Infection control measures should consider the interconnectedness of hospitals in a region, as hospitals are not isolated entities.</t>
  </si>
  <si>
    <t>Lee_2011c</t>
  </si>
  <si>
    <t>Long-term care facilities: important participants of the acute care facility social network?</t>
  </si>
  <si>
    <t>Lee BY; Song Y; Bartsch SM; Kim DS; Singh A; Avery TR; Brown ST; Yilmaz SL; Wong KF; Potter MA; Burke DS; Platt R; Huang SS</t>
  </si>
  <si>
    <t>Characterize and determine the extent and pattern of patient transfers to, from and between long-term care facilities on the netowrk of acute care facilities</t>
  </si>
  <si>
    <t>density ; reciprocity ; geodesic distance (Shortest number of inter-facility ties that connect one facility to
another (i.e., shortest path needed to travel from one facility to another); network diameter ; betweenness ; out-degree ; in-degree</t>
  </si>
  <si>
    <t>in-degree centrality, out-degree centrality, betweenness centrality, geodesic distance, number of ties, density, average degree centrality, average betweenness centrality, network diameter, network reciprocity</t>
  </si>
  <si>
    <t>Many long-term care faciltiies were connected bt patient transfers and further added many connections to the acute care facility network</t>
  </si>
  <si>
    <t>The results suggest that policy-makers and health officials should account for patient sharing with and among long-term care faciltiies as well as those among acute care facilities when evaluating policies and interventions</t>
  </si>
  <si>
    <t>Lee_2012</t>
  </si>
  <si>
    <t>Simulation shows hospitals that cooperate on infection control obtain better results than hospitals acting alone</t>
  </si>
  <si>
    <t>Lee BY ; Bartsh SM ; Wong KF ; Yilmaz SL ; Avery TR ; Singh A ; Song Y ; Kim SM ; Brown ST ; Potter MA ; Platt R ; Huang S</t>
  </si>
  <si>
    <t>Health Affairs</t>
  </si>
  <si>
    <t>To evaluate the impact of hospitals cooperating regionally in infection control efforts (specifically for MRSA) using a computational simulation of Orange County, California.</t>
  </si>
  <si>
    <t>envie de dire ça à cause du modèle mathématique mais à revoir</t>
  </si>
  <si>
    <t>sensitibity analysis on intervention compliance (25%, 50% and 75%)</t>
  </si>
  <si>
    <t>screening of all incoming patients, contact isolation procesures for patients testing positive for MRSA</t>
  </si>
  <si>
    <t>screening of all incoming patients with decolonization and isolation of positive patients</t>
  </si>
  <si>
    <t>Lee_2013a</t>
  </si>
  <si>
    <r>
      <t xml:space="preserve">The importance of nursing homes in the spread of methicillin-resistant </t>
    </r>
    <r>
      <rPr>
        <i/>
        <sz val="11"/>
        <color theme="1"/>
        <rFont val="Calibri"/>
        <family val="2"/>
        <scheme val="minor"/>
      </rPr>
      <t xml:space="preserve">Staphylococcus aureus </t>
    </r>
    <r>
      <rPr>
        <sz val="11"/>
        <color theme="1"/>
        <rFont val="Calibri"/>
        <family val="2"/>
        <scheme val="minor"/>
      </rPr>
      <t>(MRSA) among hospitals</t>
    </r>
  </si>
  <si>
    <t>Lee BY; Bartsch SM; Wong KF; Singh A; Avery TR; Kim DS; Brown ST; Murphy CR; Yilmaz SL; Potter MA; Huang SS</t>
  </si>
  <si>
    <t>To examine the role of nursing homes in regional MRSA transmission among hospuitals and assess their impact on infection dynamics using agent-based modeling</t>
  </si>
  <si>
    <t>annual adult admissions hospitals : 255974 ; nursing homes: 35820 (approximé en utilisant les moyenens par hôpital, nursing home)</t>
  </si>
  <si>
    <t>nursing homes play a critical role in amplifying and bridging MRSA outbreaks across hospitals in a regional networl</t>
  </si>
  <si>
    <t>effective MRSA control requires incorporating nursing homes into regional infection prevention strategies</t>
  </si>
  <si>
    <t>excluding indirect patient transfers underestimates the majority of patient-sharing dynamics and MRSA transmission routes (like they showed in a previous paper)</t>
  </si>
  <si>
    <t>Lee_2013b</t>
  </si>
  <si>
    <t>The regional healthcare ecosystem analyst (RHEA): simulation modeling tool to assist infectious disease control in a health system</t>
  </si>
  <si>
    <t>Lee BY; Wong KF; Bartsch SM; Yilmaz SL; Avery TR; Brown ST; Song Y; Singh A; Kim DS; Huang SS</t>
  </si>
  <si>
    <t>JAMIA</t>
  </si>
  <si>
    <t>Develop the RHEA, a computational simulation tool. The input is hospital data and it allows to develop an agent-based model on the healthcare ecosystem</t>
  </si>
  <si>
    <t>acute care hospitals : 241 192 in 2006 ; long term acute care hospitals : 7202 in 2006</t>
  </si>
  <si>
    <t>sensitivity analyses on bed capacity changes, length of stay variation, readmission probabilities, transmission coefficient adjustments</t>
  </si>
  <si>
    <t>increasing MRSA screening and isolation policies, changing hospital admision policies, changing hospital discharge policies (reducing length of stay for patients that tested positive for MRSA)</t>
  </si>
  <si>
    <t>uncoordinated patient screening and isolation, changing hospital admission and discharge policies</t>
  </si>
  <si>
    <t>Inter-facility collaboration is crucial for infection control.</t>
  </si>
  <si>
    <t>Lee_2013c</t>
  </si>
  <si>
    <t>Modeling the regional spread and control of vancomycin-resistant enterococci</t>
  </si>
  <si>
    <t>Lee BY; Yilmaz SL; Wong KF; Bartsch SM; Eubank S; Song Y; Avery TR; Christie R; Brown ST; Epstein JM; Parker JI; Huang SS</t>
  </si>
  <si>
    <t>Quantify the degree and speed at which changes in VRE colonization prevalence in a hospital may affect prevalence in other hospitals in the network</t>
  </si>
  <si>
    <t>details available from the authors upon request</t>
  </si>
  <si>
    <t>Network not available (detzails availabnle from the authors upon request)</t>
  </si>
  <si>
    <t>Vancomycin-Resistant Enterococci</t>
  </si>
  <si>
    <t>VRE surveillance and control measures could be more effectrive and more elucidative if they include all or a large subset of hospitals across a region</t>
  </si>
  <si>
    <t>Knowing a hospital's connections with other health care facilities via patient sharing can help determine which hospitals to include in a surveillance or control program</t>
  </si>
  <si>
    <t>Because the effects of VRE colonization prevalence change in 1 hospital can take months to years to fully manifest, patience and long-term follow-up may be essential when tracking VRE control.</t>
  </si>
  <si>
    <t>Lee_2013d</t>
  </si>
  <si>
    <r>
      <t xml:space="preserve">The potential regional impact of contact precaution use in nursing homes to control methicillin-resistant </t>
    </r>
    <r>
      <rPr>
        <i/>
        <sz val="11"/>
        <color theme="1"/>
        <rFont val="Calibri"/>
        <family val="2"/>
        <scheme val="minor"/>
      </rPr>
      <t>Staphylococcus aureus</t>
    </r>
  </si>
  <si>
    <t>Lee BY ; Singh A ; Bartsch SM ; Wong KF ; Kim DS ; Avery TR ; Brown ST ; Murphy CR ; Yilmaz SL ; Huang SS</t>
  </si>
  <si>
    <t>To evaluate the impact of different contact precaution strategies in nursing homes on the regional transmission of MRSA, using an agent-based model (ABM) that simulates patient movements between hospitals and nursing homes and the community</t>
  </si>
  <si>
    <t>Hospitalizations and rehospitalizations : 2007 ; transfers between hospitals and nursing homes: 2006-2008</t>
  </si>
  <si>
    <t>in nursing homes: (i) no contact precautions applied (ii) contact precautions applied to residents with clinically apparent MRSA infection (iii) contact precautions to all known MRSA carriers maintained for their entire stay in the nursing home</t>
  </si>
  <si>
    <t>contact precautions for positive residents in the nursing homes</t>
  </si>
  <si>
    <t>Lee_2016</t>
  </si>
  <si>
    <r>
      <t xml:space="preserve">The potential trajectory of carbapenem-resistant </t>
    </r>
    <r>
      <rPr>
        <i/>
        <sz val="11"/>
        <color theme="1"/>
        <rFont val="Calibri"/>
        <family val="2"/>
        <scheme val="minor"/>
      </rPr>
      <t>Enterobacteriaceae</t>
    </r>
    <r>
      <rPr>
        <sz val="11"/>
        <color theme="1"/>
        <rFont val="Calibri"/>
        <family val="2"/>
        <scheme val="minor"/>
      </rPr>
      <t>, an emerging threat to health-care facilities, and the impact of the centers for disease control and prevention toolkit</t>
    </r>
  </si>
  <si>
    <t>Lee BY ; Bartsch SM ; Wong KF ; McKinnell JA ; Slayton RB ; Miller LG ; Cao C ; Kim DS ; Alexander JK ; Jernigan JA ; Huang SS</t>
  </si>
  <si>
    <t>American Journal of Epidemiology</t>
  </si>
  <si>
    <t>To evaluate the potential spread of carbapenem-resistant Enterobaceteriaceae within a regional healthcare system and assess the impact of coordinated versus uncoordinated infection control measures using an agent-based model</t>
  </si>
  <si>
    <t>1. Uncoordinated facility-level infection control : each hospital implements active CRE surveillance (rectal-screening) and places CRE-positive patients on contact precautions 2. Coordinated regional infection control: all facilities implement the same active surveillance and contact precuation measures</t>
  </si>
  <si>
    <t>uncoordinated patient screening and isolation, coordinated patient screening and isolation</t>
  </si>
  <si>
    <t>coordinated regional control is more effective than uncoordinated, facility-level control, especially at higher CRE burden levels</t>
  </si>
  <si>
    <t>Slayton_2015</t>
  </si>
  <si>
    <t>Vital Signs: Estimated Effects of a Coordinated Approach for Action to Reduce Antibiotic-Resistant Infections in Health Care Facilities — United States</t>
  </si>
  <si>
    <t>Slayton RB ; Toth D ; Lee BY ; Tanner W ; Bartsch SM ; Khader K ; Wong K ; Brown KB ; McKinnell JA ; Ray W ; Miller LG ; Rubin M ; Kim DS ; Adler F ; Cao C ; Avery L ; Stone NTB ; Kallen A ;Samore M ; Huang SS ; Fridkin S ; Jernigan JA</t>
  </si>
  <si>
    <t>Morbidity and Mortality Weekly Report</t>
  </si>
  <si>
    <t>Epidemiology, Social Sciences applied to health</t>
  </si>
  <si>
    <t>To evaluate the impact of coordinated infection control and antibiotic stewardhip programs on reducing healthcare-associated infections caused by antibiotic-resistant organisms (CRE, MRSA, C. difficile, MDR Pseudomonas aeruginosa) using agent-based models simulating intefacility patient transfers</t>
  </si>
  <si>
    <t>NA (we only have time range for epidemiological data, not patient transfer data)</t>
  </si>
  <si>
    <t>1. independent augmented: a subset of facilities screens actively and isolates subsequently CRE-colonized patients 2. coordinated regional infection control: all faciltiies share CRE test results with a central public health ahtority, which then triggers strategically enhanced active detection and isolation measures</t>
  </si>
  <si>
    <t>vanderZee_2024</t>
  </si>
  <si>
    <t>Implications of interhospital patient transfers for emergency medical services transportation systems in the Netherlands: a retrospective study</t>
  </si>
  <si>
    <t>van der Zee DJ; Maruster L; Buijs P; Aerts-Veenstra M; Hatenboer J; Buskens E</t>
  </si>
  <si>
    <t>BMJ Open</t>
  </si>
  <si>
    <t>To analyze interhospital patient transfers in the Netherlands, focusing on their impact on emergency medical services (EMS) transportation demand, fleet management and resource allocation</t>
  </si>
  <si>
    <t>EMS transport data from the province of Drenthe, Netherlands + public hospital listings</t>
  </si>
  <si>
    <t>data not available</t>
  </si>
  <si>
    <t>NA (ambulance transport)</t>
  </si>
  <si>
    <t>interhospital transfers increased from 2013 to 2019 --&gt; additional demand on EMS services</t>
  </si>
  <si>
    <t>planned transfers grew significantly while urgent transfers remained a smaller proportion of overall EMS demand</t>
  </si>
  <si>
    <t>Lonc_2019</t>
  </si>
  <si>
    <t>Analysis of the AOK Plus data and derived hospital network</t>
  </si>
  <si>
    <t>Lonc, A.; Piotrowska, M.J.; Sakowski, K.</t>
  </si>
  <si>
    <t>Mathematica Applicanda</t>
  </si>
  <si>
    <t>Mathematics (miscellaneous)</t>
  </si>
  <si>
    <t>Analyser les données d'admission/discharge, en tirer un healthcare system transfer network, in order to create a basis for simulation of multidrug-resistant bacteriae</t>
  </si>
  <si>
    <t>4826823 hospitalisations en tout</t>
  </si>
  <si>
    <t>shortest connecting path ; indegree ; outdegree</t>
  </si>
  <si>
    <t>shortest connecting path, in-degree, out-degree</t>
  </si>
  <si>
    <t>The classification of healthcare faciltiies based on the number of admissions or the number of patients allows us to identify which facilities may be more prone to infection outbreaks</t>
  </si>
  <si>
    <t>The network is built on direct transfers only, si it does not account for cases when the pateint stays at home between hospitalizations --&gt; does not reflect the actual spread of bacteria as after leaving one hospital a patient may remain infected for a long period of time and still be infected while being admitted to another facility</t>
  </si>
  <si>
    <t>Piotrowska_2023</t>
  </si>
  <si>
    <r>
      <t xml:space="preserve">The effect of re-directed patient flow in combination with targeted infection control measures on the spread of multi-drug-resistant </t>
    </r>
    <r>
      <rPr>
        <i/>
        <sz val="11"/>
        <color theme="1"/>
        <rFont val="Calibri"/>
        <family val="2"/>
        <scheme val="minor"/>
      </rPr>
      <t xml:space="preserve">Enterobacteriaceae </t>
    </r>
    <r>
      <rPr>
        <sz val="11"/>
        <color theme="1"/>
        <rFont val="Calibri"/>
        <family val="2"/>
        <scheme val="minor"/>
      </rPr>
      <t>in the German health-care system: a mathematical modelling approach</t>
    </r>
  </si>
  <si>
    <t>Piotrowska MJ; Sakowski K; Horn J; Mikolajczyk R; Karch A</t>
  </si>
  <si>
    <t>Clinical Microbiology and Infection</t>
  </si>
  <si>
    <t>To evaluate how re-direction of patient flow and targeted infection control measures can mitigate the spread of MDR-E in the German healthcare system</t>
  </si>
  <si>
    <t>1. redirection of patient flows to limit indirect transfers 2. targeted infection control measures at high-R0 hospitals 3. combined strategies integrating patient flow redirection and infection control</t>
  </si>
  <si>
    <t>modifying patient transfer patterns, increasing infection control measures at high-R0 hospitals</t>
  </si>
  <si>
    <t>the pragmatic patient re-direction strategies were not capable of restricting the spread of MDR-E in a simulation of the German health-care system</t>
  </si>
  <si>
    <t>In contrast, hospital-based interventions focusing on institutions identified based on network transmission patterns seem to be a promising apporach for sustainable reduction of the spread of MDR-E through the German population</t>
  </si>
  <si>
    <t>vanBunnik_2015</t>
  </si>
  <si>
    <t>Efficient national surveillance for health-care-associated infections</t>
  </si>
  <si>
    <t>van Bunnik BA; Ciccolini M; Gibbons CL; Edwards G; Fitzgerald R; McAdam PR; Ward MJ; Laurenson IF; Woolhouse ME</t>
  </si>
  <si>
    <t>BMC Public Health</t>
  </si>
  <si>
    <t>Guide the design of efficient and reliable surveillance systems in the context of a novel pathogen spreading primarily between hospitals through the movement of pateints</t>
  </si>
  <si>
    <t>Scotland National datasets</t>
  </si>
  <si>
    <t>Scotland</t>
  </si>
  <si>
    <t>S. aureus</t>
  </si>
  <si>
    <t>1. augmentation du nb d'hôpitaux participant à la surveillance active 2. sélection optiamel des hôpitaux pour la surveillance à partir de leur rôle dans le réseau de transferts de pateins 3. réduction du nb d'hôpitaux dans la surveillance 4. utilisation d'un algorithme "greedy" pour choisir les hôpitaux à inclure dans la surveillance</t>
  </si>
  <si>
    <t>the current surveillance system as it is used in Scotland is not optimal in detecting novel pathogens when compared to a gold standard</t>
  </si>
  <si>
    <t>however, efficiency gains are possible by better choice of sentinel hospitals, or by increasing the number of hospitals involved in surveillance</t>
  </si>
  <si>
    <t>Bartolucci_2023</t>
  </si>
  <si>
    <t>Temporal analysis of hospital network data by hierarchical Bayesian p2 models with covariates</t>
  </si>
  <si>
    <t>Bartolucci, F.; Donni, P.L.; Mira, A.</t>
  </si>
  <si>
    <t>Journal of the Royal Statistical Society</t>
  </si>
  <si>
    <t>Statistics &amp; probability</t>
  </si>
  <si>
    <t>Propose a hierarchical Bayesian extension of the p2 model for temporal network data analysis, and apply it to patient referral data batween hospitals, to highlight local collaboration patterns and their variation over time</t>
  </si>
  <si>
    <t>Sicily healthcare information system</t>
  </si>
  <si>
    <t>The data underlying this article cannot be shared publicly due to restriction by third party, who is the owner of data. Hence the data cannot be lodged here. Access to the data should be done directly to Assessorato della salute—Regione Siciliana. The study population examined by this study involves the number of patients transferred within hospitals in Sicily. The number of transferred patients examined by this study can be replicated based on the following criteria. An eligible transfer in the period 2014–2018 should involve a patient aged 18+, resident in Sicily and admitted in a Sicilian hospital with the following main diagnostic categories (MDC): 1–13 16 17 18 21 23 24.</t>
  </si>
  <si>
    <t>Sicily, Italy</t>
  </si>
  <si>
    <t>density ; reciprocity</t>
  </si>
  <si>
    <t>density, network reciprocity</t>
  </si>
  <si>
    <t>Donker_2017b</t>
  </si>
  <si>
    <r>
      <t xml:space="preserve">Population genetic structuring of methicillin-resistant </t>
    </r>
    <r>
      <rPr>
        <i/>
        <sz val="11"/>
        <color theme="1"/>
        <rFont val="Calibri"/>
        <family val="2"/>
        <scheme val="minor"/>
      </rPr>
      <t>Staphylococcus aureus</t>
    </r>
    <r>
      <rPr>
        <sz val="11"/>
        <color theme="1"/>
        <rFont val="Calibri"/>
        <family val="2"/>
        <scheme val="minor"/>
      </rPr>
      <t xml:space="preserve"> clone EMRSA-15 within UK reflects patient referral patterns</t>
    </r>
  </si>
  <si>
    <t>Donker T; Reuter S; Scriberras J; Reynolds R; Brown NM; Török ME; James R; Network EOEMR; Aanensen DM; Bentley SD; Holden MTG; Parkhill J; Spratt BG; Peacock SJ; Feil EJ; Grundmann H</t>
  </si>
  <si>
    <t>Microbial genomics</t>
  </si>
  <si>
    <t>Genetics, Microbiology, Epidemiology</t>
  </si>
  <si>
    <r>
      <t xml:space="preserve">To investigate the influence of patient referral networks on the spread of methicillin-resistant </t>
    </r>
    <r>
      <rPr>
        <i/>
        <sz val="11"/>
        <color theme="1"/>
        <rFont val="Calibri"/>
        <family val="2"/>
        <scheme val="minor"/>
      </rPr>
      <t xml:space="preserve">Staphyloccus aureus </t>
    </r>
    <r>
      <rPr>
        <sz val="11"/>
        <color theme="1"/>
        <rFont val="Calibri"/>
        <family val="2"/>
        <scheme val="minor"/>
      </rPr>
      <t xml:space="preserve"> (MRSA) across hospitals in the UK and Ireland using whole-genome sequencing</t>
    </r>
  </si>
  <si>
    <t>community detection with a modularity-maximization algorithm</t>
  </si>
  <si>
    <t>phylogenetic and population genetics analyses</t>
  </si>
  <si>
    <t>patient referral networks influence the genetic population structure of MRSA across hospitals</t>
  </si>
  <si>
    <t>coordinated regional infection control efforts are crucial to reduce MRSA transmission</t>
  </si>
  <si>
    <t>whole-genome sequencing provides high-resolution insights into bacterial population structure</t>
  </si>
  <si>
    <t>vanNiekerk_2022</t>
  </si>
  <si>
    <r>
      <t xml:space="preserve">Spatiotemporal prediction of vancomycin-resistant </t>
    </r>
    <r>
      <rPr>
        <i/>
        <sz val="11"/>
        <color theme="1"/>
        <rFont val="Calibri"/>
        <family val="2"/>
        <scheme val="minor"/>
      </rPr>
      <t xml:space="preserve">Enterococcus </t>
    </r>
    <r>
      <rPr>
        <sz val="11"/>
        <color theme="1"/>
        <rFont val="Calibri"/>
        <family val="2"/>
        <scheme val="minor"/>
      </rPr>
      <t>colonisation</t>
    </r>
  </si>
  <si>
    <t>van Niekerk JM; Lokate M; Braakman-Jansen LMA; van Gemert-Pijnen JEWC; Stein A</t>
  </si>
  <si>
    <t>BMC Infectious diseases</t>
  </si>
  <si>
    <t>To investigate how patient movements between hospital wards and their antibiotic use can explain the colonisation of pateints with VRE</t>
  </si>
  <si>
    <t>retrospective patient movement data from the University Medical Center Groningen</t>
  </si>
  <si>
    <t>The data that support the findings of this study are available from UMCG but restrictions apply to the availability of these data, which were used under license for the current study, and so are not publicly available. Data are however available from the authors upon reasonable request and with of UMCG. permission</t>
  </si>
  <si>
    <t>this study showed how the movements of patients inside hospitals and their use of antibiotics could predict the colonisation of pateints with VRE at the ward level</t>
  </si>
  <si>
    <t>Two daily centrality measures were proposed to summarise the flow of patients and antibiotics at the ward level.</t>
  </si>
  <si>
    <t>An early warning system for VRE can be developed to test and further develop infection prevention plans and outbreak strategies using these results.</t>
  </si>
  <si>
    <t>Tahir_2021</t>
  </si>
  <si>
    <t>Relevance of intra-hospital patient movements for the spread of healthcare-associated infections within hospitals - a mathematical modeling study</t>
  </si>
  <si>
    <t>Tahir H; López-Cortés LE; Kola A; Yahav D; Karch A; Xia H; Horn J; Sakowski K; Piotrowska MJ; Leibovici L; Mikolajczyk RT; Kretzschmar ME</t>
  </si>
  <si>
    <t>To analyze intra-hospital patient movement patterns and their implications for the spread of multidrug-resistant Enterobacteriaceae (MDR_E) using mathematical modeling and network analysis</t>
  </si>
  <si>
    <t>Hospital data from five hospitals in different countries</t>
  </si>
  <si>
    <t>Univeristy Medical Center, Utrecht, The Netherlands : 01.01.2014-31.12.2017 ; Hospital Universitario Virgen Macarena, Spain : 01.01.2016-30.01.2017 ; Charité Universitäts medizin, Germany: 01.01.02016-31.12.2016 ; Beilinson Hospital, Isarael : 01.01.2012-31.12.2017 ; Universitäts klinikum Halle, Germany : 01.01.2017-31.12.2017</t>
  </si>
  <si>
    <t>Univeristy Medical Center, Utrecht, The Netherlands : 4 years; Hospital Universitario Virgen Macarena, Spain : 1 year and 1 month ; Charité Universitäts medizin, Germany: 1 year ; Beilinson Hospital, Isarael : 6 years ; Universitäts klinikum Halle, Germany : 1 year</t>
  </si>
  <si>
    <t>(Including both inpatients and outpatients) Univeristy Medical Center, Utrecht, The Netherlands : 326064 ; Hospital Universitario Virgen Macarena, Spain : 37227 ; Charité Universitäts medizin, Germany: 841221 ; Beilinson Hospital, Isarael : 202524 ; Universitäts klinikum Halle, Germany : 47279</t>
  </si>
  <si>
    <t>(Number of patients per year) Univeristy Medical Center, Utrecht, The Netherlands : 30823 ; Hospital Universitario Virgen Macarena, Spain : 26724 ; Charité Universitäts medizin, Germany: 416751 ; Beilinson Hospital, Isarael : 17410 ; Universitäts klinikum Halle, Germany : 32863</t>
  </si>
  <si>
    <t>University Medical Center, Utrecht, The Netherlands ; Hospital Universitario Virgen Macarena, Spain; Charité Universitäts medizin, Germany; Beilinson Hospital, Isarael; Universitäts klinikum Halle, Germany (5 networks)</t>
  </si>
  <si>
    <t>The Netherlands, Spain, Germany, Israel</t>
  </si>
  <si>
    <t>Degree, weighted degree, clustering coefficient, graph density, and network diameter, average path length</t>
  </si>
  <si>
    <t>degree, weighted degree, global clustering coefficient, density, network diameter, average path length</t>
  </si>
  <si>
    <t>uncoordinated contact isolation of infected patients, coordinated intervention where patients moving in and out from the highest weighted degree department were screened and isolated if positive</t>
  </si>
  <si>
    <t>intra-hospital movements contribute significantly to pathogen spread, with high-centrality departements like ICU acting as hubs</t>
  </si>
  <si>
    <t>targeted interventions based on network measures improve control measures</t>
  </si>
  <si>
    <t>risk stratification of pateints allows for more efficient allocation of infection control resources</t>
  </si>
  <si>
    <t>Fernandez-Gracia_2017</t>
  </si>
  <si>
    <t>Influence of a patient transfer network of US inpatient facilities on the incidence of nosocomial infections</t>
  </si>
  <si>
    <t>Fernández-Gracia, J; Onnela, J ; Barnett, ML ; Eguíluz, VM; Christakis NA</t>
  </si>
  <si>
    <t>To assess whether a network of hospitals, linked by inpatient transfers, contributes to the spread of nosocomial infectiosn (focusing on Clostridium difficile) and to develop a network-based surveillance system using "sensor" hospitals</t>
  </si>
  <si>
    <r>
      <t xml:space="preserve">Access to this data requires permission from the </t>
    </r>
    <r>
      <rPr>
        <b/>
        <sz val="11"/>
        <color theme="1"/>
        <rFont val="Calibri"/>
        <family val="2"/>
        <scheme val="minor"/>
      </rPr>
      <t>Centers for Medicare and Medicaid Services (CMS)</t>
    </r>
  </si>
  <si>
    <t>21 million</t>
  </si>
  <si>
    <t>10,4 million</t>
  </si>
  <si>
    <t>USA</t>
  </si>
  <si>
    <t>In-degree, out-degree, instrength, outstrength, eigenvector centrality</t>
  </si>
  <si>
    <t>in-degree, out-degree, in-strength, out-strength, eigenvector centrality</t>
  </si>
  <si>
    <t>fractional logistic regression to examine the associations between C. difficile incidence in a hospital and the average incidence in its network neighbors</t>
  </si>
  <si>
    <t>investigation of optimal sensor placement for surveillance of nosocomial infections using centrality metrics (indegree ; outdegree ; eigenvector centrality)</t>
  </si>
  <si>
    <t>the network of patient transfers significantly contributes to the spread of nosocomial infection (here C. difficile) (bc strong correlations in  infection incidence among connected hospitals)</t>
  </si>
  <si>
    <t>A network-based surveillance system can effectively monitor outbreaks, requiring only a small fraction of hospitals as "sensors" to detect the majority of infections.</t>
  </si>
  <si>
    <t>Geographic proximity strongly influences transfer patterns, with 90% of transfers occurring within 200 km.</t>
  </si>
  <si>
    <t>Alexopoulos_2015</t>
  </si>
  <si>
    <t>Monitoring interhospital transfers in Western Greece during 2003-2011 : its role in health policy</t>
  </si>
  <si>
    <t>Alexopoulos EC; Kalyva A; Merekoulias G; Niakas D</t>
  </si>
  <si>
    <t>Rural and Remote Health</t>
  </si>
  <si>
    <t>Analyse interhospital transfers carried out in the Western Greece region over a nine-year period</t>
  </si>
  <si>
    <t>EKAB Patras</t>
  </si>
  <si>
    <t>Ambulance databases</t>
  </si>
  <si>
    <r>
      <t xml:space="preserve">The study was approved by the </t>
    </r>
    <r>
      <rPr>
        <b/>
        <sz val="11"/>
        <color theme="1"/>
        <rFont val="Calibri"/>
        <family val="2"/>
        <scheme val="minor"/>
      </rPr>
      <t>6th Health District Authority (DYPE)</t>
    </r>
    <r>
      <rPr>
        <sz val="11"/>
        <color theme="1"/>
        <rFont val="Calibri"/>
        <family val="2"/>
        <scheme val="minor"/>
      </rPr>
      <t xml:space="preserve">. Specific external access modalities are </t>
    </r>
    <r>
      <rPr>
        <b/>
        <sz val="11"/>
        <color theme="1"/>
        <rFont val="Calibri"/>
        <family val="2"/>
        <scheme val="minor"/>
      </rPr>
      <t>not detailed</t>
    </r>
    <r>
      <rPr>
        <sz val="11"/>
        <color theme="1"/>
        <rFont val="Calibri"/>
        <family val="2"/>
        <scheme val="minor"/>
      </rPr>
      <t>.</t>
    </r>
  </si>
  <si>
    <t>Western Greece</t>
  </si>
  <si>
    <t>Greece</t>
  </si>
  <si>
    <t>number of transfers per hospital (weighted indegree?)</t>
  </si>
  <si>
    <t>weighted in-degree</t>
  </si>
  <si>
    <t>relationship between transfer rates and other hospital variables</t>
  </si>
  <si>
    <t>author_year</t>
  </si>
  <si>
    <t>title</t>
  </si>
  <si>
    <t>authors</t>
  </si>
  <si>
    <t>year_publi</t>
  </si>
  <si>
    <t>journal</t>
  </si>
  <si>
    <t>subject_journal</t>
  </si>
  <si>
    <t>subject_journal_grp</t>
  </si>
  <si>
    <t>objective</t>
  </si>
  <si>
    <t>database_grp</t>
  </si>
  <si>
    <t>type_database_grp</t>
  </si>
  <si>
    <t>start_year_database</t>
  </si>
  <si>
    <t>time_range_database_years</t>
  </si>
  <si>
    <t>data_availability</t>
  </si>
  <si>
    <t>network_availability</t>
  </si>
  <si>
    <t>transfer_type</t>
  </si>
  <si>
    <t>indirect_transfer_max_delay</t>
  </si>
  <si>
    <t>facilities_types_binary</t>
  </si>
  <si>
    <t>intra_or_inter</t>
  </si>
  <si>
    <t>nb_facilities</t>
  </si>
  <si>
    <t>nb_units</t>
  </si>
  <si>
    <t>nb_transfers</t>
  </si>
  <si>
    <t>nb_admissions</t>
  </si>
  <si>
    <t>nb_patients</t>
  </si>
  <si>
    <t>scale_grp</t>
  </si>
  <si>
    <t>name_location</t>
  </si>
  <si>
    <t>country</t>
  </si>
  <si>
    <t>static_or_temporal</t>
  </si>
  <si>
    <t>if_static_agr_or_avg</t>
  </si>
  <si>
    <t>if_mean_tempscale</t>
  </si>
  <si>
    <t>if_temporal_tempscale</t>
  </si>
  <si>
    <t>static_or_temporal_notes</t>
  </si>
  <si>
    <t>patient_grp_yes_no</t>
  </si>
  <si>
    <t>descriptive_metrics_network</t>
  </si>
  <si>
    <t>descriptive metrics_grp</t>
  </si>
  <si>
    <t>regression_analyses</t>
  </si>
  <si>
    <t>additional_analysis</t>
  </si>
  <si>
    <t>prop_model_yes_no</t>
  </si>
  <si>
    <t>prop_model_type_binary</t>
  </si>
  <si>
    <t>prop_model_pathogen</t>
  </si>
  <si>
    <t>prop_model_interv_yes_no</t>
  </si>
  <si>
    <t>prop_model_interv_details</t>
  </si>
  <si>
    <t>prop_model_interv_grp</t>
  </si>
  <si>
    <t>epidemio_data_yes_no</t>
  </si>
  <si>
    <t>found_how</t>
  </si>
  <si>
    <t>AOK Bavaria</t>
  </si>
  <si>
    <t>AOK Plus</t>
  </si>
  <si>
    <t>Bavaria</t>
  </si>
  <si>
    <t>Saxony and Thuringia</t>
  </si>
  <si>
    <t>Xia_2021_sub_Bavaria</t>
  </si>
  <si>
    <t>Xia_2021_sub_LowerSaxony</t>
  </si>
  <si>
    <t>Xia_2024_sub_Bavaria</t>
  </si>
  <si>
    <t>Xia_2024_sub_LowerSaxony</t>
  </si>
  <si>
    <t>Xia_2024_sub_SaxonyThuringia</t>
  </si>
  <si>
    <t>Bergmark_2023_sub_California</t>
  </si>
  <si>
    <t>Bergmark_2023_sub_Florida</t>
  </si>
  <si>
    <t>Justice_2022_sub_California</t>
  </si>
  <si>
    <t>Justice_2022_sub_Iowa</t>
  </si>
  <si>
    <t>Justice_2022_sub_Nebraska</t>
  </si>
  <si>
    <t>Stockholm region</t>
  </si>
  <si>
    <t>Ciccolini_2014_sub_England</t>
  </si>
  <si>
    <t>Ciccolini_2014_sub_Netherlands</t>
  </si>
  <si>
    <t>Dutch National Medical register</t>
  </si>
  <si>
    <t>Piotrowska_2020a_sub_LowerSaxony</t>
  </si>
  <si>
    <t>Piotrowska_2020a_sub_SaxonyThuringia</t>
  </si>
  <si>
    <t>Rankin_2020_sub_OrangeCountyFL</t>
  </si>
  <si>
    <t>Rankin_2020_sub_CentralFlorida</t>
  </si>
  <si>
    <t>Orange County, Florida</t>
  </si>
  <si>
    <t>Spain</t>
  </si>
  <si>
    <t>Israel</t>
  </si>
  <si>
    <t>network</t>
  </si>
  <si>
    <t>Not a network</t>
  </si>
  <si>
    <t>continent</t>
  </si>
  <si>
    <t>Europe</t>
  </si>
  <si>
    <t>North America</t>
  </si>
  <si>
    <t>Asia</t>
  </si>
  <si>
    <t>Oceania</t>
  </si>
  <si>
    <t>Tahir_2021_sub_Utrecht</t>
  </si>
  <si>
    <t>Tahir_2021_sub_Seville</t>
  </si>
  <si>
    <t>Tahir_2021_sub_Berlin</t>
  </si>
  <si>
    <t>Tahir_2021_sub_PetahTikva</t>
  </si>
  <si>
    <t>Tahir_2021_sub_Halle</t>
  </si>
  <si>
    <t>Xia_2021_sub_SaxonyThuringia</t>
  </si>
  <si>
    <t>Any time within the period covered by the data</t>
  </si>
  <si>
    <t>New South Wales, Western Australia, Queensland, South Australia</t>
  </si>
  <si>
    <t>Debrecen</t>
  </si>
  <si>
    <t>Groningen</t>
  </si>
  <si>
    <t>California</t>
  </si>
  <si>
    <t>Drenthe</t>
  </si>
  <si>
    <t>Iowa</t>
  </si>
  <si>
    <t>Nebraska</t>
  </si>
  <si>
    <t>Petah Tikva</t>
  </si>
  <si>
    <t>Central Florida</t>
  </si>
  <si>
    <t>Berlin</t>
  </si>
  <si>
    <t>Halle</t>
  </si>
  <si>
    <t>Seville</t>
  </si>
  <si>
    <t>Utrecht</t>
  </si>
  <si>
    <t>New South Wales and Western Australia and Queensland and South Australia</t>
  </si>
  <si>
    <t>Sicily</t>
  </si>
  <si>
    <t>Orange County, California</t>
  </si>
  <si>
    <t>Florida</t>
  </si>
  <si>
    <t>New-York City</t>
  </si>
  <si>
    <t>Ontario</t>
  </si>
  <si>
    <t>Abruzzo</t>
  </si>
  <si>
    <t>Stockholm</t>
  </si>
  <si>
    <t>Fujian</t>
  </si>
  <si>
    <t>autotransfers_included</t>
  </si>
  <si>
    <t>Excluded</t>
  </si>
  <si>
    <t>Included</t>
  </si>
  <si>
    <t>Not mentionned, probably excluded</t>
  </si>
  <si>
    <t>sentinel surveillance system (immediate detection of a pathogen in these hospitals)</t>
  </si>
  <si>
    <t>Pennsylvania</t>
  </si>
  <si>
    <t>California-c</t>
  </si>
  <si>
    <t>California-b</t>
  </si>
  <si>
    <t>California-a</t>
  </si>
  <si>
    <t>France-b</t>
  </si>
  <si>
    <t>England-a</t>
  </si>
  <si>
    <t>England-b</t>
  </si>
  <si>
    <t>France-a</t>
  </si>
  <si>
    <t>epidemio_data_categ</t>
  </si>
  <si>
    <t>A hybrid approach to model hospitals and evaluate wards' performances</t>
  </si>
  <si>
    <t>ARSINEH BOODAGHIAN ASL 1,2, LUCA MARZANO 1 , JAYANTH RAGHOTHAMA 1 , ADAM S. DARWICH 1 , NINA FALK3 , PATRIK BODEBY3 , AND SEBASTIAAN MEIJER 1</t>
  </si>
  <si>
    <t>IEEE Access</t>
  </si>
  <si>
    <t>Uppsala</t>
  </si>
  <si>
    <t>Uppsala University Hospital database</t>
  </si>
  <si>
    <t>Network not avaialable (des échantillons sont fournis pour exemple)</t>
  </si>
  <si>
    <t>A dynamic nonlinear flow algorithm to model patient flow</t>
  </si>
  <si>
    <t>Arsineh Boodaghian Asl, Jayanth Raghothama, Adam S. Darwich &amp; Sebastiaan Meijer</t>
  </si>
  <si>
    <t>Donvito_2025</t>
  </si>
  <si>
    <t>Impact of the SARS-CoV-2 pandemic on hospital robustness to the spread of antibiotic-resistant bacteria in a large German university hospital</t>
  </si>
  <si>
    <t>G. Donvito,F.Burkin, T. Donker</t>
  </si>
  <si>
    <t>Journal of Hospital infection</t>
  </si>
  <si>
    <t>To investigate gow the COVID-19 pandemic and hospital reorganization affected the intrahospital patient transfer network and its robustness to the simulated spread of antibiotic-resistant bacteria</t>
  </si>
  <si>
    <t>Freiburg</t>
  </si>
  <si>
    <t>Freiburg hospital database</t>
  </si>
  <si>
    <t>indegree, instrength</t>
  </si>
  <si>
    <t>Lapp_2023</t>
  </si>
  <si>
    <t>Lapp_2023_sub_Minnesota</t>
  </si>
  <si>
    <t>Lapp_2023_sub_Tennessee</t>
  </si>
  <si>
    <t>Lapp_2023_sub_Connecticut</t>
  </si>
  <si>
    <t>Distinct Origins and Transmission Pathways of blaKPC Enterobacterales across Three U.S. States</t>
  </si>
  <si>
    <t>Zena Lapp, Rany Octariab,c, Sean M. O’Malleyd, Tu Ngoc Nguyene, Hannah Wolfordf, Ryan Crawforda, Christina Moorec, Paula Snippes Vagnoned, Diane Noele, Nadezhda Duffyf, Ali Piranig, Linda S. Thomasc, Brittany Patteed, Claire Pearsone, Sandra N. Bulensf, Sophie Hoffmana, Marion Kainerc, Melissa Anackerd, James Meekh, Isaac Seef, Kyle J. Gontjesg, Allison Chanc, Ruth Lynfieldd, Meghan Maloneye, Mary K. Haydeni,j, Evan Snitkin, Rachel B. Slaytonf</t>
  </si>
  <si>
    <t>Minnesota</t>
  </si>
  <si>
    <t>Tennessee</t>
  </si>
  <si>
    <t>Connecticut</t>
  </si>
  <si>
    <t>Journal of Clinical Microbiology</t>
  </si>
  <si>
    <t>To assess the origins and transmission pathoways of a pathogen in three US states (using genomic surveillance)</t>
  </si>
  <si>
    <t>Connecticut, Minnesota and Tennessee</t>
  </si>
  <si>
    <t>CMS patient claims data</t>
  </si>
  <si>
    <t>Octaria_2025</t>
  </si>
  <si>
    <t>Improving containment and prevention strategies using a patient transfer network representative of patients with multidrug-resistant organisms</t>
  </si>
  <si>
    <t>Rany Octaria, Stephen Deppen, Allison Chan, James C. Slaughter, Pamela Talley, Rachel B. Slayton, Peter F. Rebeiro and Marion A. Kainer</t>
  </si>
  <si>
    <t>Evaluate whether a patient trnasfer network built from inpatients with similar risk profiles to confirmed CRE cases better predicts hsoptial-elvel CRE prevalence than networks based on all inpatients in Tennessee</t>
  </si>
  <si>
    <t>Tennessee Hospital Discharge Data System</t>
  </si>
  <si>
    <t>Michelson_2025</t>
  </si>
  <si>
    <t>Network analysis to define pediatric acute care regions in Wisconsin</t>
  </si>
  <si>
    <t>Kenneth A. Michelson1 | Katherine E. Remick2 | Emily M. Bucholz3 | Patrick D. McMullen4 | Naveen Singamsetty4 |Andrew D. Skol4 | Danielle K. Cory1 | John A. Graves5</t>
  </si>
  <si>
    <t>Health Services Research</t>
  </si>
  <si>
    <t>To use network analysis of pediatric hospital-to-hospital transfers to identify and define natural pediatric referral regions (PERRs) across Wisconsin, supporting coordinated regional pediatric care.</t>
  </si>
  <si>
    <t>Wisconsin</t>
  </si>
  <si>
    <t>degree, weighted degree, modularity, density</t>
  </si>
  <si>
    <t>Asl_2025a</t>
  </si>
  <si>
    <t>Asl_2025b</t>
  </si>
  <si>
    <t>différents en fct des réseaux</t>
  </si>
  <si>
    <t>density, reciprocity, diameter, mean geodesic distance, in-degree, weighted in-degree, out-degree, weighted out-degree, betweenness, eigenvector centrality</t>
  </si>
  <si>
    <t>Atlanta Metropolitan Area</t>
  </si>
  <si>
    <t>degree and closeness metrics correlate with hospital infection risk, offering tools for targeted infection prevention strategies</t>
  </si>
  <si>
    <t>California and Florida</t>
  </si>
  <si>
    <t>England-a and Netherlands</t>
  </si>
  <si>
    <t>Enterobacterales</t>
  </si>
  <si>
    <t xml:space="preserve">2314477 unique patients. </t>
  </si>
  <si>
    <t>66527638 care episodes.</t>
  </si>
  <si>
    <t>Control of Self-Organizing Nonlinear Systems</t>
  </si>
  <si>
    <t>Temporal network epidemiology</t>
  </si>
  <si>
    <t>Other</t>
  </si>
  <si>
    <t>Propose an approach to model patient flow between hospital wards via a hybrid approach (multi-agent simulation and network analysis) to identify bottlenecks and evaluate ward performance</t>
  </si>
  <si>
    <t>To develop a dynamic nonlinear flow algorithm to model patient flows across hospital wards</t>
  </si>
  <si>
    <t>Research equation</t>
  </si>
  <si>
    <t xml:space="preserve">Research equation </t>
  </si>
  <si>
    <t>England : ; Netherlands : 1676704 (? found in Donker_2010)</t>
  </si>
  <si>
    <t>found in Nekkab_2017</t>
  </si>
  <si>
    <t>found in Nekkab_2020</t>
  </si>
  <si>
    <t>found in Lomi_2014</t>
  </si>
  <si>
    <t>found in Bartulocci_2023.</t>
  </si>
  <si>
    <t>found in Piotrowska_2023</t>
  </si>
  <si>
    <t>found in Lonc_2019. Excluded from the results of the research equation because the abstract contains "shared patients", which is not part of the included terms</t>
  </si>
  <si>
    <t>found in Lonc_2019. Excluded from the results of the research equation because the abstract does not contain any word from the 3rd section (network)</t>
  </si>
  <si>
    <t>found in Huang_2010. Excluded from the results of the research equation because the abstract does not contain any word with the idea of patient transfer</t>
  </si>
  <si>
    <t>Conclusion 1</t>
  </si>
  <si>
    <t>Conclusion 2</t>
  </si>
  <si>
    <t>Conclusion 3</t>
  </si>
  <si>
    <t>Most interhospital transfers were directed toward larger, better-equiped hospitals. It reflects a centralization of specialized care</t>
  </si>
  <si>
    <t>Results indiacte that interhospital collaborative behaviours are primarily local and that collaborative attitudes vary at different time occasions of the considered period and in accordance with the level of competition faced by hospital organisations</t>
  </si>
  <si>
    <t>need for guidelines to improve patient-centered transfers and to incorporate patient-sharing dynamics in hospital performance metrics</t>
  </si>
  <si>
    <t>Peripheral and highly central hospitals have higher mortality and longer lengths of stay than intermediate hospitals.</t>
  </si>
  <si>
    <t>Position within the inter-hospital network influences outcomes independently of patient characteristics.</t>
  </si>
  <si>
    <t>Hospital quality indicators should therefore incorporate network structure to better reflect true performance.</t>
  </si>
  <si>
    <t>regional hospital groups do not necessarily align with observed patient mobility patterns</t>
  </si>
  <si>
    <t>Transfer rates were inversely related to hospital admission rates, transfer time, and distance between rural and central hospitals.</t>
  </si>
  <si>
    <t>Key infrastructure gaps identified include the lack of orthopedists in GH Kalavryta and absence of CT scanners in GH Mesologi, which significantly influenced transfer rates.</t>
  </si>
  <si>
    <t>Monitoring interhospital transfers highlights critical areas for health policy interventions, such as optimizing staffing, infrastructure, and service distribution.</t>
  </si>
  <si>
    <t>Regional cooperation and proactive control measures are essential to mitigating the extensive impact of such outbreaks​</t>
  </si>
  <si>
    <t>Community stays play a major role in pathogen transmission, as 99% of transfers involve the community rather than direct hospital-to-hospital movements.</t>
  </si>
  <si>
    <t>Screening at admission can halve prevalence within ~100 days if 30-40% of patients are screened.</t>
  </si>
  <si>
    <t>The effectiveness of control measures depends on network structure, with modular hospital connections influencing spread dynamics.</t>
  </si>
  <si>
    <t>Community stays extend the transmission network—ignoring them underestimates outbreak sizes.</t>
  </si>
  <si>
    <t>Targeting high in-degree hospitals (major receivers of patients) is more effective for outbreak control than targeting high out-degree hospitals.</t>
  </si>
  <si>
    <t>Bayesian ERGMs effectively capture complex interhospital referral patterns, allowing for nuanced insights into healthcare collaboration dynamics​</t>
  </si>
  <si>
    <t>Hospitals that cooperate in infection control reduce MRSA prevalence more effectively than acting alone.</t>
  </si>
  <si>
    <t>Doubling the number of hospitals implementing MRSA screening and isolation leads to more than double the infection reduction.</t>
  </si>
  <si>
    <t>Contact isolation compliance is as crucial as increasing hospital participation in interventions.</t>
  </si>
  <si>
    <t>Changes in length of stay, readmission rates, and transmission rates significantly impact MRSA prevalence.</t>
  </si>
  <si>
    <t>Simulation tools like RHEA can help policymakers test interventions before real-world implementation.</t>
  </si>
  <si>
    <t>Contact precautions only for clinically apparent MRSA infections had minimal effect on MRSA spread.</t>
  </si>
  <si>
    <t>Extending contact precautions to all known MRSA carriers significantly reduced MRSA prevalence in both nursing homes (14.2% median reduction) and hospitals (2.3% median reduction).</t>
  </si>
  <si>
    <t>Regional cooperation between hospitals and nursing homes in infection control is essential to reducing MRSA burden.</t>
  </si>
  <si>
    <t>Long-term acute-care hospitals (LTACHs) were key drivers of CRE spread due to high patient turnover and interfacility transfers.</t>
  </si>
  <si>
    <t>Optimization of patient flow logistics significantly reduced the need for patient transfers, decreasing the total transport distance by over 30% and the number of transfer episodes by approximately 23%.</t>
  </si>
  <si>
    <t>Reorganizing hospital layout led to greater specialization of buildings, with more influential hubs emerging in the network structure.</t>
  </si>
  <si>
    <t>Graph theory-based analysis demonstrated that the optimized hospital network became more efficient and synchronized, improving system-wide patient flow and reducing redundancies.</t>
  </si>
  <si>
    <t>A nationwide intervention strategy could prevent 619,000 antibiotic-resistant HAIs and 37,000 deaths over 5 years.</t>
  </si>
  <si>
    <t>Coordinated regional control was more effective than independent facility-based efforts, reducing CRE prevalence by 74% (5-year, 10-facility model) and 55% (15-year, 102-facility model).</t>
  </si>
  <si>
    <t>Public health–led coordinated interventions significantly reduce interfacility transmission and optimize infection control resource allocation.</t>
  </si>
  <si>
    <t>3% of patients crossed a state border for hospital care, affecting healthcare planning and patient outcome evaluations.</t>
  </si>
  <si>
    <t>Cross-jurisdictional data linkage improved tracking of patient hospitalizations and mortality, revealing geographical patterns of hospital use.</t>
  </si>
  <si>
    <t>Hospital mortality estimates may be biased in single-state studies, emphasizing the need for national-level data linkage.</t>
  </si>
  <si>
    <t>Longer transfer distances and more cross-border patient movement create operational challenges for EMS providers.</t>
  </si>
  <si>
    <t>Auto-transfers pose the greatest risk of transmission if decolonization is slow.</t>
  </si>
  <si>
    <t>The structure of the network influences transmission dynamics.</t>
  </si>
  <si>
    <t>The average length of stay is more closely correlated with final prevalence than hospital size.</t>
  </si>
  <si>
    <t>incomplete data on hospital networks significantly biases network measures (e.g. degree, closeness) but has less effect on infection àprevalence modeled via the SIS approach</t>
  </si>
  <si>
    <t>Transfers between specialties are more influenced by complementary skills, competition, and similarity, while transfers within the same specialty are strongly influenced by reciprocity and the repetition of past relationships.</t>
  </si>
  <si>
    <t>In transfers between specialties, we observe a flat, collaborative, and relatively balanced structure. Conversely, transfers within the same specialty show a more hierarchical structure geared toward repeating established relationships, highlighting different organizational principles depending on the medical context.</t>
  </si>
  <si>
    <t>Hospitals that are most central in patient transfer networks have lower readmission rates: a central position, measured by Bonacich centrality, is associated with better coordination, privileged access to information, and an increased ability to refer patients to the most suitable partners.</t>
  </si>
  <si>
    <t>Conversely, a high density of a hospital's local network increases readmissions: a dense ego-network means that a hospital's partners also collaborate with each other, which may indicate a lack of specialization and an overload of coordination processes, thereby reducing the quality of care.</t>
  </si>
  <si>
    <t>The quality of connections takes precedence over their quantity: it is not the number of partners that matters most, but rather the type of relationships established. Structured connections with specialized hubs bring benefits in terms of quality, while a dispersed and unstructured network can have the opposite effect.</t>
  </si>
  <si>
    <t>Collaboration and competition coexist in hospital networks: hospitals that collaborate (by sharing patients) are also more likely to compete, illustrating a phenomenon of coopetition where cooperation and rivalry jointly structure the market.</t>
  </si>
  <si>
    <t>Competition is highly localized and influenced by geographical proximity: competitive interference between hospitals is more frequent between geographically close facilities and within the same LHUs, confirming that healthcare markets are primarily territorial.</t>
  </si>
  <si>
    <t>Competition is intensifying between hospitals with different levels of performance: higher-performing hospitals are both more likely to initiate competitive relationships and less exposed to incoming competition, revealing asymmetric strategic dynamics based on resources and quality.</t>
  </si>
  <si>
    <t>Competition does not hinder inter-hospital collaboration: contrary to certain theoretical expectations, the study shows that hospitals exposed to strong competition are also more likely to collaborate (through patient transfers), suggesting a form of structural “coopetition” in universal healthcare systems.</t>
  </si>
  <si>
    <t>Collaborations are mainly local and influenced by the complementarity of resources: hospitals with complementary profiles (e.g., equipment or expertise) or significant differences in activity volume or performance tend to share more patients.</t>
  </si>
  <si>
    <t>Longitudinal analysis of patient flows between hospitals (using a network method) reveals endogenous mechanisms of organization and coordination, even in the absence of explicit collaboration policies.</t>
  </si>
  <si>
    <t>The more a hospital is integrated into a cooperative network, the more its productivity increases. Meanwhile, strong competitive pressure (measured by niche overlap) hinders its performance.</t>
  </si>
  <si>
    <t>The negative effect of competition can be mitigated by collaboration: hospitals exposed to intense competition can offset this pressure through collaborative ties, demonstrating that coopetition (collaboration + competition) can be beneficial.</t>
  </si>
  <si>
    <t>The study adopts an “embeddedness” perspective: it considers hospitals not as isolated actors, but as interdependent organizations whose performance depends on collaborative and competitive relationships within their institutional and geographical environment.</t>
  </si>
  <si>
    <t>Patient transfers facilitate access to better quality care: data show that, all other things being equal, patients are transferred in a decentralized manner from lower-performing hospitals to those with lower readmission rates, used here as a quality indicator.</t>
  </si>
  <si>
    <t>Transfers follow well-established relational patterns: beyond quality, factors such as geographical proximity, membership of the same local health unit (LHU), or past relationships strongly influence the likelihood of transfer between hospitals.</t>
  </si>
  <si>
    <t>Two types of transfers, two different rationales: transfers between specialties are based on the complementarity of services and show transitive closure dynamics (triangular networks), while transfers within the same specialty are less influenced by the structure of the network but tend to be repeated once initiated, strengthening collaboration between specific partners.</t>
  </si>
  <si>
    <t>Two distinct mechanisms of reciprocity are highlighted: dependence (short term) and organizational anchoring (long term). The former reflects an immediate response to current resource flows, while the latter is based on the history of exchanges between organizations.</t>
  </si>
  <si>
    <t>The competitive environment changes the dynamics: in non-competitive environments, both types of reciprocity emerge clearly. In competitive environments, however, reciprocity disappears and gives way to the formation of status hierarchies between hospitals.</t>
  </si>
  <si>
    <t>Importance of considering the temporal aspect: detailed analysis of transfers (rather than their aggregation) reveals the mechanisms underlying the formation of social structures between organizations.</t>
  </si>
  <si>
    <t>EH</t>
  </si>
  <si>
    <t>data_extractor</t>
  </si>
  <si>
    <t>extraction_date</t>
  </si>
  <si>
    <t>eligible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</si>
</sst>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theme="1"/>
      <name val="Arial Unicode MS"/>
      <family val="2"/>
    </font>
    <font>
      <i/>
      <sz val="11"/>
      <color theme="1"/>
      <name val="Calibri"/>
      <family val="2"/>
      <scheme val="minor"/>
    </font>
    <font>
      <sz val="10"/>
      <color rgb="FF131413"/>
      <name val="Arial"/>
      <family val="2"/>
    </font>
    <font>
      <sz val="11"/>
      <color rgb="FF222222"/>
      <name val="Segoe UI"/>
      <family val="2"/>
    </font>
    <font>
      <sz val="10"/>
      <color theme="1"/>
      <name val="Calibri"/>
      <family val="2"/>
      <scheme val="minor"/>
    </font>
    <font>
      <sz val="11"/>
      <color rgb="FF1B1B1B"/>
      <name val="Calibri"/>
      <family val="2"/>
      <scheme val="minor"/>
    </font>
    <font>
      <sz val="11"/>
      <color rgb="FF000000"/>
      <name val="Calibri"/>
      <family val="2"/>
      <scheme val="minor"/>
    </font>
    <font>
      <sz val="8"/>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5" tint="0.59999389629810485"/>
        <bgColor indexed="64"/>
      </patternFill>
    </fill>
  </fills>
  <borders count="8">
    <border>
      <left/>
      <right/>
      <top/>
      <bottom/>
      <diagonal/>
    </border>
    <border>
      <left style="medium">
        <color rgb="FFFFFFFF"/>
      </left>
      <right style="medium">
        <color rgb="FFFFFFFF"/>
      </right>
      <top style="medium">
        <color rgb="FFFFFFFF"/>
      </top>
      <bottom style="medium">
        <color rgb="FFFFFFFF"/>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s>
  <cellStyleXfs count="1">
    <xf numFmtId="0" fontId="0" fillId="0" borderId="0"/>
  </cellStyleXfs>
  <cellXfs count="41">
    <xf numFmtId="0" fontId="0" fillId="0" borderId="0" xfId="0"/>
    <xf numFmtId="0" fontId="0" fillId="0" borderId="1" xfId="0" applyBorder="1"/>
    <xf numFmtId="0" fontId="0" fillId="0" borderId="1" xfId="0"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0" borderId="5" xfId="0" applyBorder="1"/>
    <xf numFmtId="0" fontId="0" fillId="0" borderId="6" xfId="0" applyBorder="1"/>
    <xf numFmtId="0" fontId="0" fillId="0" borderId="6" xfId="0" applyBorder="1" applyAlignment="1">
      <alignment wrapText="1"/>
    </xf>
    <xf numFmtId="0" fontId="2" fillId="0" borderId="0" xfId="0" quotePrefix="1" applyFont="1" applyAlignment="1">
      <alignment vertical="center"/>
    </xf>
    <xf numFmtId="0" fontId="0" fillId="0" borderId="5" xfId="0" applyBorder="1" applyAlignment="1">
      <alignment wrapText="1"/>
    </xf>
    <xf numFmtId="0" fontId="0" fillId="2" borderId="6" xfId="0" applyFill="1" applyBorder="1" applyAlignment="1">
      <alignment wrapText="1"/>
    </xf>
    <xf numFmtId="0" fontId="0" fillId="4" borderId="0" xfId="0" applyFill="1"/>
    <xf numFmtId="0" fontId="0" fillId="2" borderId="0" xfId="0" applyFill="1"/>
    <xf numFmtId="0" fontId="0" fillId="0" borderId="7" xfId="0" applyBorder="1"/>
    <xf numFmtId="0" fontId="0" fillId="3" borderId="0" xfId="0" applyFill="1"/>
    <xf numFmtId="0" fontId="0" fillId="0" borderId="5" xfId="0" applyBorder="1" applyAlignment="1">
      <alignment horizontal="left" vertical="center" indent="1"/>
    </xf>
    <xf numFmtId="0" fontId="0" fillId="0" borderId="0" xfId="0" applyAlignment="1">
      <alignment vertical="center"/>
    </xf>
    <xf numFmtId="0" fontId="2" fillId="0" borderId="0" xfId="0" applyFont="1" applyAlignment="1">
      <alignment vertical="center"/>
    </xf>
    <xf numFmtId="0" fontId="4" fillId="0" borderId="0" xfId="0" applyFont="1" applyAlignment="1">
      <alignment vertical="center"/>
    </xf>
    <xf numFmtId="0" fontId="0" fillId="6" borderId="0" xfId="0" applyFill="1"/>
    <xf numFmtId="0" fontId="5" fillId="0" borderId="0" xfId="0" applyFont="1"/>
    <xf numFmtId="20" fontId="0" fillId="0" borderId="0" xfId="0" applyNumberFormat="1"/>
    <xf numFmtId="0" fontId="6" fillId="0" borderId="6" xfId="0" applyFont="1" applyBorder="1"/>
    <xf numFmtId="0" fontId="0" fillId="0" borderId="0" xfId="0" applyAlignment="1">
      <alignment horizontal="left" vertical="center" indent="1"/>
    </xf>
    <xf numFmtId="0" fontId="0" fillId="7" borderId="0" xfId="0" applyFill="1"/>
    <xf numFmtId="0" fontId="0" fillId="0" borderId="0" xfId="0" applyAlignment="1">
      <alignment horizontal="left" indent="1"/>
    </xf>
    <xf numFmtId="0" fontId="0" fillId="8" borderId="0" xfId="0" applyFill="1"/>
    <xf numFmtId="0" fontId="0" fillId="5" borderId="0" xfId="0" applyFill="1"/>
    <xf numFmtId="0" fontId="7" fillId="0" borderId="0" xfId="0" applyFont="1" applyAlignment="1">
      <alignment vertical="center" wrapText="1"/>
    </xf>
    <xf numFmtId="0" fontId="8" fillId="0" borderId="0" xfId="0" applyFont="1" applyAlignment="1">
      <alignment horizontal="left" wrapText="1" readingOrder="1"/>
    </xf>
    <xf numFmtId="0" fontId="1" fillId="0" borderId="0" xfId="0" applyFont="1" applyAlignment="1">
      <alignment wrapText="1"/>
    </xf>
    <xf numFmtId="0" fontId="2" fillId="0" borderId="0" xfId="0" quotePrefix="1" applyFont="1" applyAlignment="1">
      <alignment vertical="center" wrapText="1"/>
    </xf>
    <xf numFmtId="0" fontId="2" fillId="0" borderId="0" xfId="0" applyFont="1" applyAlignment="1">
      <alignment vertical="center" wrapText="1"/>
    </xf>
    <xf numFmtId="0" fontId="0" fillId="0" borderId="2" xfId="0" applyBorder="1" applyAlignment="1">
      <alignment wrapText="1"/>
    </xf>
    <xf numFmtId="0" fontId="0" fillId="0" borderId="0" xfId="0" applyFont="1"/>
    <xf numFmtId="0" fontId="0" fillId="0" borderId="0" xfId="0" applyFont="1" applyAlignment="1">
      <alignment wrapText="1"/>
    </xf>
    <xf numFmtId="14" fontId="0" fillId="0" borderId="0" xfId="0" applyNumberFormat="1"/>
  </cellXfs>
  <cellStyles count="1">
    <cellStyle name="Normal" xfId="0" builtinId="0"/>
  </cellStyles>
  <dxfs count="25">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diagonalUp="0" diagonalDown="0">
        <left style="medium">
          <color indexed="64"/>
        </left>
        <right/>
        <top/>
        <bottom/>
        <vertical/>
        <horizontal/>
      </border>
    </dxf>
    <dxf>
      <border diagonalUp="0" diagonalDown="0">
        <left/>
        <right style="medium">
          <color indexed="64"/>
        </right>
        <top/>
        <bottom/>
        <vertical/>
        <horizontal/>
      </border>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border diagonalUp="0" diagonalDown="0" outline="0">
        <left style="medium">
          <color indexed="64"/>
        </left>
        <right/>
        <top/>
        <bottom/>
      </border>
    </dxf>
    <dxf>
      <border diagonalUp="0" diagonalDown="0">
        <left style="medium">
          <color indexed="64"/>
        </left>
        <right/>
        <top/>
        <bottom/>
        <vertical/>
        <horizontal/>
      </border>
    </dxf>
    <dxf>
      <border diagonalUp="0" diagonalDown="0">
        <left/>
        <right style="medium">
          <color indexed="64"/>
        </right>
        <top/>
        <bottom/>
        <vertical/>
        <horizontal/>
      </border>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right style="medium">
          <color indexed="64"/>
        </right>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234209-000F-4083-8F59-7A4627BAD561}" name="Tableau1" displayName="Tableau1" ref="A1:BB105" totalsRowShown="0" headerRowDxfId="24" dataDxfId="22" headerRowBorderDxfId="23">
  <autoFilter ref="A1:BB105" xr:uid="{0A234209-000F-4083-8F59-7A4627BAD561}"/>
  <sortState xmlns:xlrd2="http://schemas.microsoft.com/office/spreadsheetml/2017/richdata2" ref="A2:BB105">
    <sortCondition ref="A1:A105"/>
  </sortState>
  <tableColumns count="54">
    <tableColumn id="4" xr3:uid="{D96C3F57-F34A-42FA-AB0C-6543F924C192}" name="author_year"/>
    <tableColumn id="5" xr3:uid="{A3826C7A-C40B-4688-B0E4-0DC1E0346645}" name="title" dataDxfId="21"/>
    <tableColumn id="6" xr3:uid="{5FA18405-7C60-4EBE-82B7-83D3B5FA6B96}" name="authors"/>
    <tableColumn id="11" xr3:uid="{51F16F53-F377-40A0-BECA-20BAECA029AF}" name="year_publi"/>
    <tableColumn id="12" xr3:uid="{033A070A-F38C-4145-BB25-F1C51FED4A4C}" name="journal"/>
    <tableColumn id="13" xr3:uid="{5C5334E8-D5F2-468F-9C11-53D184C1E4AE}" name="subject_journal" dataDxfId="20"/>
    <tableColumn id="24" xr3:uid="{577A2049-CD96-4D7F-B514-4B4C1764C375}" name="subject_journal_grp" dataDxfId="19"/>
    <tableColumn id="14" xr3:uid="{7CD5D236-35BF-422E-9267-923068B80711}" name="objective" dataDxfId="18"/>
    <tableColumn id="63" xr3:uid="{5BE81D87-6AB9-4ED1-BD1F-BBE65B06884F}" name="scale_grp" dataDxfId="17"/>
    <tableColumn id="62" xr3:uid="{580BF954-4532-4553-BC05-E09817C9C51D}" name="name_location" dataDxfId="16"/>
    <tableColumn id="61" xr3:uid="{92E8B8D7-FB5E-4C8D-80D0-CA83DF9FE8B8}" name="network" dataDxfId="15"/>
    <tableColumn id="70" xr3:uid="{14D701B0-41EF-4DDC-97EA-E688430DFFD0}" name="country" dataDxfId="14"/>
    <tableColumn id="71" xr3:uid="{70937BB4-313B-4DEB-8343-275C6B31EAA7}" name="continent"/>
    <tableColumn id="56" xr3:uid="{57766F7F-A178-4D55-91E9-8168F5466FDB}" name="database_grp" dataDxfId="13"/>
    <tableColumn id="55" xr3:uid="{ADC48B34-1B26-4C28-9A68-5DBB7931257F}" name="type_database_grp" dataDxfId="12"/>
    <tableColumn id="17" xr3:uid="{232BC149-EF56-4415-AADF-4B3EA5F87635}" name="start_year_database"/>
    <tableColumn id="18" xr3:uid="{85E39338-E00C-4518-AF3F-9F03DC8FEE41}" name="time_range_database_years"/>
    <tableColumn id="81" xr3:uid="{C36CE45D-F6B3-4102-B530-22CA869631C7}" name="data_availability"/>
    <tableColumn id="82" xr3:uid="{FB67EF4C-FBC0-478B-A1A1-B0FDE89C4A99}" name="network_availability"/>
    <tableColumn id="19" xr3:uid="{69ADD90E-6C8C-4C1A-BF53-9A32522C2D8D}" name="transfer_type"/>
    <tableColumn id="2" xr3:uid="{5F40E094-B4CD-415C-8473-03E7F58A5475}" name="autotransfers_included"/>
    <tableColumn id="57" xr3:uid="{115F0EDF-D355-4990-97C5-B0F20CDADA6A}" name="indirect_transfer_max_delay"/>
    <tableColumn id="60" xr3:uid="{F8284679-F2AC-49C9-AE4F-A9F1DC15727A}" name="facilities_types_binary" dataDxfId="11"/>
    <tableColumn id="10" xr3:uid="{64113D64-6772-499D-B056-6A8EF64288D4}" name="intra_or_inter"/>
    <tableColumn id="58" xr3:uid="{18B2B2A7-1A79-4945-8249-011FC621F157}" name="nb_facilities"/>
    <tableColumn id="23" xr3:uid="{82C360B3-4A7F-48A0-87AD-82D774CB00CD}" name="nb_units"/>
    <tableColumn id="59" xr3:uid="{C09D5857-9A87-4451-99EC-B5436E362DE8}" name="nb_transfers"/>
    <tableColumn id="26" xr3:uid="{F1C9D2D1-C49A-4E7A-9452-30B1C91EFC4B}" name="nb_admissions"/>
    <tableColumn id="27" xr3:uid="{BBCD4743-AED2-4B6D-AF6C-4BF0C3EA9883}" name="nb_patients"/>
    <tableColumn id="31" xr3:uid="{6FF1A855-255F-4DC1-A7FD-877FB3A45CEA}" name="static_or_temporal"/>
    <tableColumn id="32" xr3:uid="{0E493C82-EB03-4838-AE9C-2E6EFCB9B3C8}" name="if_static_agr_or_avg" dataDxfId="10"/>
    <tableColumn id="33" xr3:uid="{53C6751C-8407-4D66-99F2-60CC65EAAFD6}" name="if_mean_tempscale" dataDxfId="9"/>
    <tableColumn id="1" xr3:uid="{57B83A17-CDE9-44E7-8B72-213125562CE1}" name="if_temporal_tempscale" dataDxfId="8"/>
    <tableColumn id="34" xr3:uid="{DF790C41-0F4C-40F4-8F0C-BF6B66AB0674}" name="static_or_temporal_notes"/>
    <tableColumn id="35" xr3:uid="{920E81F1-F19D-4521-ACA3-E0B64ED194D9}" name="patient_grp_yes_no" dataDxfId="7"/>
    <tableColumn id="37" xr3:uid="{69994578-3C51-479C-9CA6-5141C465D5A4}" name="descriptive_metrics_network" dataDxfId="6"/>
    <tableColumn id="7" xr3:uid="{1F637645-B3B1-4163-8E19-CEDE6490ED02}" name="descriptive metrics_grp" dataDxfId="5"/>
    <tableColumn id="38" xr3:uid="{EEAC498B-3519-47ED-8B7A-300CEDA8D458}" name="regression_analyses"/>
    <tableColumn id="39" xr3:uid="{5A514080-65DF-44DF-AA0B-E8B17A599858}" name="additional_analysis" dataDxfId="4"/>
    <tableColumn id="40" xr3:uid="{1F57F58F-8D7B-4D1E-B692-990917FDC35F}" name="prop_model_yes_no" dataDxfId="3"/>
    <tableColumn id="8" xr3:uid="{B763B2BF-CDF2-4E8B-BE82-309A07B4B523}" name="prop_model_type_binary"/>
    <tableColumn id="42" xr3:uid="{C6DB804C-28CB-4BD9-9C8E-DD2670344259}" name="prop_model_pathogen"/>
    <tableColumn id="43" xr3:uid="{4799FDFC-749E-4AB2-A392-EB7B018D5C6D}" name="prop_model_interv_yes_no"/>
    <tableColumn id="44" xr3:uid="{9F894A42-CF1E-484E-A3BD-0154E7DA95DF}" name="prop_model_interv_details"/>
    <tableColumn id="9" xr3:uid="{FD325BB2-E87B-4F33-B21E-26F585C5728C}" name="prop_model_interv_grp"/>
    <tableColumn id="45" xr3:uid="{D7150D92-3FD4-4546-B36F-7B8581F7B3A9}" name="epidemio_data_yes_no"/>
    <tableColumn id="21" xr3:uid="{5753AFB9-92FC-40CA-9FA0-7C856A5EC371}" name="epidemio_data_categ"/>
    <tableColumn id="3" xr3:uid="{DE189695-F9BD-4DDE-A527-07E7249A1BA8}" name="data_extractor"/>
    <tableColumn id="15" xr3:uid="{EEDC4F57-F86B-4A2B-8AD3-850EF0772A02}" name="extraction_date"/>
    <tableColumn id="16" xr3:uid="{AB0ED796-B6BD-4FC7-AEEB-CEB0403FE9E6}" name="eligible"/>
    <tableColumn id="47" xr3:uid="{7DC737CE-24F7-4F20-8D4D-A16EF3AB2CDE}" name="found_how"/>
    <tableColumn id="49" xr3:uid="{D999DCE2-AFC4-4A46-AF31-29DAB9E6F286}" name="Conclusion 1" dataDxfId="2"/>
    <tableColumn id="50" xr3:uid="{49A4F5A6-7A6A-4228-A59C-11CD952A1CAA}" name="Conclusion 2" dataDxfId="1"/>
    <tableColumn id="51" xr3:uid="{4C8804A9-576E-4077-8717-4F874964FBCE}" name="Conclusion 3"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05"/>
  <sheetViews>
    <sheetView tabSelected="1" zoomScale="70" zoomScaleNormal="70" workbookViewId="0">
      <pane xSplit="1" topLeftCell="G1" activePane="topRight" state="frozen"/>
      <selection pane="topRight" sqref="A1:M1048576"/>
    </sheetView>
  </sheetViews>
  <sheetFormatPr baseColWidth="10" defaultColWidth="8.875" defaultRowHeight="14.3" x14ac:dyDescent="0.25"/>
  <cols>
    <col min="1" max="1" width="36.25" bestFit="1" customWidth="1"/>
    <col min="2" max="2" width="50.125" style="6" customWidth="1"/>
    <col min="3" max="3" width="20.875" customWidth="1"/>
    <col min="4" max="4" width="11.375" customWidth="1"/>
    <col min="5" max="5" width="25" customWidth="1"/>
    <col min="6" max="6" width="19.5" style="6" customWidth="1"/>
    <col min="7" max="7" width="40.375" style="6" customWidth="1"/>
    <col min="8" max="8" width="31.375" style="13" customWidth="1"/>
    <col min="9" max="12" width="31.375" style="6" customWidth="1"/>
    <col min="13" max="13" width="31.375" style="14" customWidth="1"/>
    <col min="14" max="14" width="44.25" style="7" customWidth="1"/>
    <col min="15" max="15" width="40.375" customWidth="1"/>
    <col min="16" max="18" width="32.75" customWidth="1"/>
    <col min="19" max="19" width="27.25" style="18" customWidth="1"/>
    <col min="20" max="20" width="27.25" customWidth="1"/>
    <col min="21" max="21" width="54.625" customWidth="1"/>
    <col min="22" max="22" width="59" customWidth="1"/>
    <col min="23" max="23" width="90.5" style="18" customWidth="1"/>
    <col min="24" max="24" width="31" customWidth="1"/>
    <col min="25" max="25" width="26.5" style="15" customWidth="1"/>
    <col min="26" max="26" width="26.5" customWidth="1"/>
    <col min="27" max="27" width="41.25" customWidth="1"/>
    <col min="28" max="28" width="31" customWidth="1"/>
    <col min="29" max="29" width="42.375" customWidth="1"/>
    <col min="30" max="30" width="31.5" customWidth="1"/>
    <col min="31" max="32" width="30.875" customWidth="1"/>
    <col min="33" max="33" width="59.25" style="9" customWidth="1"/>
    <col min="34" max="34" width="41.125" style="10" hidden="1" customWidth="1"/>
    <col min="35" max="35" width="28.875" style="9" hidden="1" customWidth="1"/>
    <col min="36" max="36" width="58.5" style="6" hidden="1" customWidth="1"/>
    <col min="37" max="37" width="44.875" customWidth="1"/>
    <col min="38" max="38" width="44.875" style="9" customWidth="1"/>
    <col min="39" max="39" width="28" style="10" customWidth="1"/>
    <col min="40" max="40" width="20.5" customWidth="1"/>
    <col min="41" max="41" width="22.25" customWidth="1"/>
    <col min="42" max="42" width="31.125" customWidth="1"/>
    <col min="43" max="43" width="43" style="6" customWidth="1"/>
    <col min="44" max="44" width="18.875" style="6" customWidth="1"/>
    <col min="45" max="45" width="36.75" customWidth="1"/>
    <col min="46" max="50" width="22.875" style="23" customWidth="1"/>
    <col min="51" max="51" width="44.5" style="17" customWidth="1"/>
    <col min="52" max="53" width="17.125" customWidth="1"/>
    <col min="54" max="54" width="26.5" customWidth="1"/>
  </cols>
  <sheetData>
    <row r="1" spans="1:91" s="3" customFormat="1" ht="51.65" customHeight="1" thickBot="1" x14ac:dyDescent="0.3">
      <c r="A1" t="s">
        <v>873</v>
      </c>
      <c r="B1" s="3" t="s">
        <v>874</v>
      </c>
      <c r="C1" s="3" t="s">
        <v>875</v>
      </c>
      <c r="D1" s="3" t="s">
        <v>876</v>
      </c>
      <c r="E1" s="3" t="s">
        <v>877</v>
      </c>
      <c r="F1" s="3" t="s">
        <v>878</v>
      </c>
      <c r="G1" s="3" t="s">
        <v>879</v>
      </c>
      <c r="H1" s="4" t="s">
        <v>880</v>
      </c>
      <c r="I1" s="3" t="s">
        <v>896</v>
      </c>
      <c r="J1" s="3" t="s">
        <v>897</v>
      </c>
      <c r="K1" s="3" t="s">
        <v>942</v>
      </c>
      <c r="L1" s="4" t="s">
        <v>898</v>
      </c>
      <c r="M1" s="3" t="s">
        <v>944</v>
      </c>
      <c r="N1" s="3" t="s">
        <v>881</v>
      </c>
      <c r="O1" s="3" t="s">
        <v>882</v>
      </c>
      <c r="P1" s="3" t="s">
        <v>883</v>
      </c>
      <c r="Q1" s="3" t="s">
        <v>884</v>
      </c>
      <c r="R1" s="3" t="s">
        <v>885</v>
      </c>
      <c r="S1" s="3" t="s">
        <v>886</v>
      </c>
      <c r="T1" t="s">
        <v>887</v>
      </c>
      <c r="U1" t="s">
        <v>978</v>
      </c>
      <c r="V1" t="s">
        <v>888</v>
      </c>
      <c r="W1" s="3" t="s">
        <v>889</v>
      </c>
      <c r="X1" s="3" t="s">
        <v>890</v>
      </c>
      <c r="Y1" s="3" t="s">
        <v>891</v>
      </c>
      <c r="Z1" s="3" t="s">
        <v>892</v>
      </c>
      <c r="AA1" t="s">
        <v>893</v>
      </c>
      <c r="AB1" s="3" t="s">
        <v>894</v>
      </c>
      <c r="AC1" s="3" t="s">
        <v>895</v>
      </c>
      <c r="AD1" t="s">
        <v>899</v>
      </c>
      <c r="AE1" s="3" t="s">
        <v>900</v>
      </c>
      <c r="AF1" s="3" t="s">
        <v>901</v>
      </c>
      <c r="AG1" s="3" t="s">
        <v>902</v>
      </c>
      <c r="AH1" s="3" t="s">
        <v>903</v>
      </c>
      <c r="AI1" s="5" t="s">
        <v>904</v>
      </c>
      <c r="AJ1" s="5" t="s">
        <v>905</v>
      </c>
      <c r="AK1" s="3" t="s">
        <v>906</v>
      </c>
      <c r="AL1" s="3" t="s">
        <v>907</v>
      </c>
      <c r="AM1" s="4" t="s">
        <v>908</v>
      </c>
      <c r="AN1" s="5" t="s">
        <v>909</v>
      </c>
      <c r="AO1" s="3" t="s">
        <v>910</v>
      </c>
      <c r="AP1" s="3" t="s">
        <v>911</v>
      </c>
      <c r="AQ1" s="3" t="s">
        <v>912</v>
      </c>
      <c r="AR1" s="3" t="s">
        <v>913</v>
      </c>
      <c r="AS1" s="3" t="s">
        <v>914</v>
      </c>
      <c r="AT1" s="3" t="s">
        <v>915</v>
      </c>
      <c r="AU1" s="34" t="s">
        <v>991</v>
      </c>
      <c r="AV1" s="34" t="s">
        <v>1124</v>
      </c>
      <c r="AW1" s="34" t="s">
        <v>1125</v>
      </c>
      <c r="AX1" s="34" t="s">
        <v>1126</v>
      </c>
      <c r="AY1" s="3" t="s">
        <v>916</v>
      </c>
      <c r="AZ1" s="37" t="s">
        <v>1060</v>
      </c>
      <c r="BA1" s="37" t="s">
        <v>1061</v>
      </c>
      <c r="BB1" s="37" t="s">
        <v>1062</v>
      </c>
    </row>
    <row r="2" spans="1:91" ht="39.25" customHeight="1" x14ac:dyDescent="0.25">
      <c r="A2" t="s">
        <v>860</v>
      </c>
      <c r="B2" s="6" t="s">
        <v>861</v>
      </c>
      <c r="C2" t="s">
        <v>862</v>
      </c>
      <c r="D2">
        <v>2015</v>
      </c>
      <c r="E2" s="6" t="s">
        <v>863</v>
      </c>
      <c r="F2" s="6" t="s">
        <v>562</v>
      </c>
      <c r="G2" s="6" t="s">
        <v>45</v>
      </c>
      <c r="H2" s="6" t="s">
        <v>864</v>
      </c>
      <c r="I2" t="s">
        <v>14</v>
      </c>
      <c r="J2" t="s">
        <v>868</v>
      </c>
      <c r="K2" t="s">
        <v>868</v>
      </c>
      <c r="L2" s="9" t="s">
        <v>869</v>
      </c>
      <c r="M2" t="s">
        <v>945</v>
      </c>
      <c r="N2" s="6" t="s">
        <v>865</v>
      </c>
      <c r="O2" s="6" t="s">
        <v>866</v>
      </c>
      <c r="P2">
        <v>2003</v>
      </c>
      <c r="Q2">
        <v>9</v>
      </c>
      <c r="R2" t="s">
        <v>867</v>
      </c>
      <c r="S2" s="6" t="s">
        <v>246</v>
      </c>
      <c r="T2" t="s">
        <v>10</v>
      </c>
      <c r="V2" t="s">
        <v>11</v>
      </c>
      <c r="W2" t="s">
        <v>12</v>
      </c>
      <c r="X2" t="s">
        <v>13</v>
      </c>
      <c r="Y2">
        <v>14</v>
      </c>
      <c r="Z2" t="s">
        <v>11</v>
      </c>
      <c r="AA2">
        <v>20000</v>
      </c>
      <c r="AC2" t="s">
        <v>11</v>
      </c>
      <c r="AD2" t="s">
        <v>80</v>
      </c>
      <c r="AE2" t="s">
        <v>195</v>
      </c>
      <c r="AF2" t="s">
        <v>17</v>
      </c>
      <c r="AG2" s="9" t="s">
        <v>11</v>
      </c>
      <c r="AH2"/>
      <c r="AI2" s="10" t="s">
        <v>18</v>
      </c>
      <c r="AJ2" s="11" t="s">
        <v>870</v>
      </c>
      <c r="AK2" s="11" t="s">
        <v>871</v>
      </c>
      <c r="AL2" t="s">
        <v>872</v>
      </c>
      <c r="AM2" s="9"/>
      <c r="AN2" s="10" t="s">
        <v>18</v>
      </c>
      <c r="AO2" t="s">
        <v>11</v>
      </c>
      <c r="AP2" t="s">
        <v>11</v>
      </c>
      <c r="AQ2" t="s">
        <v>11</v>
      </c>
      <c r="AR2" t="s">
        <v>11</v>
      </c>
      <c r="AS2" t="s">
        <v>11</v>
      </c>
      <c r="AT2" t="s">
        <v>11</v>
      </c>
      <c r="AU2"/>
      <c r="AV2" t="s">
        <v>1123</v>
      </c>
      <c r="AW2" s="40">
        <v>45783</v>
      </c>
      <c r="AX2" t="s">
        <v>35</v>
      </c>
      <c r="AY2" t="s">
        <v>1049</v>
      </c>
      <c r="AZ2" s="38" t="s">
        <v>1070</v>
      </c>
      <c r="BA2" s="38" t="s">
        <v>1071</v>
      </c>
      <c r="BB2" s="38" t="s">
        <v>1072</v>
      </c>
    </row>
    <row r="3" spans="1:91" s="15" customFormat="1" ht="84.25" customHeight="1" x14ac:dyDescent="0.25">
      <c r="A3" t="s">
        <v>1033</v>
      </c>
      <c r="B3" s="6" t="s">
        <v>992</v>
      </c>
      <c r="C3" t="s">
        <v>993</v>
      </c>
      <c r="D3">
        <v>2025</v>
      </c>
      <c r="E3" s="6" t="s">
        <v>994</v>
      </c>
      <c r="F3" s="6" t="s">
        <v>150</v>
      </c>
      <c r="G3" s="6" t="s">
        <v>150</v>
      </c>
      <c r="H3" s="13" t="s">
        <v>1047</v>
      </c>
      <c r="I3" t="s">
        <v>232</v>
      </c>
      <c r="J3" s="6" t="s">
        <v>995</v>
      </c>
      <c r="K3" s="6" t="s">
        <v>995</v>
      </c>
      <c r="L3" s="13" t="s">
        <v>248</v>
      </c>
      <c r="M3" s="6" t="s">
        <v>945</v>
      </c>
      <c r="N3" s="6" t="s">
        <v>996</v>
      </c>
      <c r="O3" s="6" t="s">
        <v>229</v>
      </c>
      <c r="P3">
        <v>2019</v>
      </c>
      <c r="Q3">
        <v>1</v>
      </c>
      <c r="R3"/>
      <c r="S3" t="s">
        <v>997</v>
      </c>
      <c r="T3" t="s">
        <v>10</v>
      </c>
      <c r="U3"/>
      <c r="V3" t="s">
        <v>11</v>
      </c>
      <c r="W3" t="s">
        <v>12</v>
      </c>
      <c r="X3" t="s">
        <v>231</v>
      </c>
      <c r="Y3">
        <v>1</v>
      </c>
      <c r="Z3">
        <v>48</v>
      </c>
      <c r="AA3" t="s">
        <v>11</v>
      </c>
      <c r="AB3" t="s">
        <v>11</v>
      </c>
      <c r="AC3" t="s">
        <v>11</v>
      </c>
      <c r="AD3" t="s">
        <v>80</v>
      </c>
      <c r="AE3" t="s">
        <v>81</v>
      </c>
      <c r="AF3" t="s">
        <v>11</v>
      </c>
      <c r="AG3" s="9" t="s">
        <v>11</v>
      </c>
      <c r="AH3"/>
      <c r="AI3" s="10"/>
      <c r="AJ3" s="11"/>
      <c r="AK3" s="11" t="s">
        <v>11</v>
      </c>
      <c r="AL3" t="s">
        <v>11</v>
      </c>
      <c r="AM3" s="9" t="s">
        <v>11</v>
      </c>
      <c r="AN3" s="10" t="s">
        <v>18</v>
      </c>
      <c r="AO3" t="s">
        <v>11</v>
      </c>
      <c r="AP3" t="s">
        <v>11</v>
      </c>
      <c r="AQ3" t="s">
        <v>11</v>
      </c>
      <c r="AR3" t="s">
        <v>11</v>
      </c>
      <c r="AS3" t="s">
        <v>11</v>
      </c>
      <c r="AT3" t="s">
        <v>11</v>
      </c>
      <c r="AU3" t="s">
        <v>11</v>
      </c>
      <c r="AV3" t="s">
        <v>1123</v>
      </c>
      <c r="AW3" s="40">
        <v>45944</v>
      </c>
      <c r="AX3" t="s">
        <v>35</v>
      </c>
      <c r="AY3" t="s">
        <v>1050</v>
      </c>
      <c r="AZ3" s="21"/>
      <c r="BA3" s="21"/>
      <c r="BB3" s="21"/>
      <c r="BC3"/>
      <c r="BD3"/>
      <c r="BE3"/>
      <c r="BF3"/>
      <c r="BG3"/>
      <c r="BH3"/>
      <c r="BI3"/>
      <c r="BJ3"/>
      <c r="BK3"/>
      <c r="BL3"/>
      <c r="BM3"/>
      <c r="BN3"/>
      <c r="BO3"/>
      <c r="BP3"/>
      <c r="BQ3"/>
      <c r="BR3"/>
      <c r="BS3"/>
      <c r="BT3"/>
      <c r="BU3"/>
      <c r="BV3"/>
      <c r="BW3"/>
      <c r="BX3"/>
      <c r="BY3"/>
      <c r="BZ3"/>
      <c r="CA3"/>
      <c r="CB3"/>
      <c r="CC3"/>
      <c r="CD3"/>
      <c r="CE3"/>
      <c r="CF3"/>
      <c r="CG3"/>
      <c r="CH3"/>
      <c r="CI3"/>
      <c r="CJ3"/>
      <c r="CK3"/>
      <c r="CL3"/>
      <c r="CM3"/>
    </row>
    <row r="4" spans="1:91" s="15" customFormat="1" ht="42.8" x14ac:dyDescent="0.25">
      <c r="A4" t="s">
        <v>1034</v>
      </c>
      <c r="B4" s="6" t="s">
        <v>998</v>
      </c>
      <c r="C4" t="s">
        <v>999</v>
      </c>
      <c r="D4">
        <v>2025</v>
      </c>
      <c r="E4" s="6" t="s">
        <v>352</v>
      </c>
      <c r="F4" s="6" t="s">
        <v>150</v>
      </c>
      <c r="G4" s="6" t="s">
        <v>150</v>
      </c>
      <c r="H4" s="13" t="s">
        <v>1048</v>
      </c>
      <c r="I4" t="s">
        <v>232</v>
      </c>
      <c r="J4" s="6" t="s">
        <v>995</v>
      </c>
      <c r="K4" s="6" t="s">
        <v>995</v>
      </c>
      <c r="L4" s="13" t="s">
        <v>248</v>
      </c>
      <c r="M4" s="6" t="s">
        <v>945</v>
      </c>
      <c r="N4" s="6" t="s">
        <v>996</v>
      </c>
      <c r="O4" s="6" t="s">
        <v>229</v>
      </c>
      <c r="P4">
        <v>2019</v>
      </c>
      <c r="Q4">
        <v>1</v>
      </c>
      <c r="R4"/>
      <c r="S4" t="s">
        <v>997</v>
      </c>
      <c r="T4" t="s">
        <v>10</v>
      </c>
      <c r="U4"/>
      <c r="V4" t="s">
        <v>11</v>
      </c>
      <c r="W4" t="s">
        <v>12</v>
      </c>
      <c r="X4" t="s">
        <v>231</v>
      </c>
      <c r="Y4">
        <v>1</v>
      </c>
      <c r="Z4">
        <v>45</v>
      </c>
      <c r="AA4" t="s">
        <v>11</v>
      </c>
      <c r="AB4" t="s">
        <v>11</v>
      </c>
      <c r="AC4" t="s">
        <v>11</v>
      </c>
      <c r="AD4" t="s">
        <v>80</v>
      </c>
      <c r="AE4" t="s">
        <v>81</v>
      </c>
      <c r="AF4" t="s">
        <v>11</v>
      </c>
      <c r="AG4" s="9" t="s">
        <v>11</v>
      </c>
      <c r="AH4"/>
      <c r="AI4" s="10"/>
      <c r="AJ4" s="11"/>
      <c r="AK4" s="10" t="s">
        <v>11</v>
      </c>
      <c r="AL4" t="s">
        <v>11</v>
      </c>
      <c r="AM4" s="9" t="s">
        <v>11</v>
      </c>
      <c r="AN4" s="10" t="s">
        <v>18</v>
      </c>
      <c r="AO4" t="s">
        <v>11</v>
      </c>
      <c r="AP4" t="s">
        <v>11</v>
      </c>
      <c r="AQ4" t="s">
        <v>11</v>
      </c>
      <c r="AR4" t="s">
        <v>11</v>
      </c>
      <c r="AS4" t="s">
        <v>11</v>
      </c>
      <c r="AT4" t="s">
        <v>11</v>
      </c>
      <c r="AU4" t="s">
        <v>11</v>
      </c>
      <c r="AV4" t="s">
        <v>1123</v>
      </c>
      <c r="AW4" s="40">
        <v>45944</v>
      </c>
      <c r="AX4" t="s">
        <v>35</v>
      </c>
      <c r="AY4" t="s">
        <v>1050</v>
      </c>
      <c r="AZ4" s="21"/>
      <c r="BA4" s="21"/>
      <c r="BB4" s="21"/>
      <c r="BC4"/>
      <c r="BD4"/>
      <c r="BE4"/>
      <c r="BF4"/>
      <c r="BG4"/>
      <c r="BH4"/>
      <c r="BI4"/>
      <c r="BJ4"/>
      <c r="BK4"/>
      <c r="BL4"/>
      <c r="BM4"/>
      <c r="BN4"/>
      <c r="BO4"/>
      <c r="BP4"/>
      <c r="BQ4"/>
      <c r="BR4"/>
      <c r="BS4"/>
      <c r="BT4"/>
      <c r="BU4"/>
      <c r="BV4"/>
      <c r="BW4"/>
      <c r="BX4"/>
      <c r="BY4"/>
      <c r="BZ4"/>
      <c r="CA4"/>
      <c r="CB4"/>
      <c r="CC4"/>
      <c r="CD4"/>
      <c r="CE4"/>
      <c r="CF4"/>
      <c r="CG4"/>
      <c r="CH4"/>
      <c r="CI4"/>
      <c r="CJ4"/>
      <c r="CK4"/>
      <c r="CL4"/>
      <c r="CM4"/>
    </row>
    <row r="5" spans="1:91" s="15" customFormat="1" ht="156.9" x14ac:dyDescent="0.25">
      <c r="A5" t="s">
        <v>558</v>
      </c>
      <c r="B5" s="6" t="s">
        <v>559</v>
      </c>
      <c r="C5" t="s">
        <v>560</v>
      </c>
      <c r="D5">
        <v>2017</v>
      </c>
      <c r="E5" s="6" t="s">
        <v>561</v>
      </c>
      <c r="F5" s="6" t="s">
        <v>562</v>
      </c>
      <c r="G5" s="6" t="s">
        <v>45</v>
      </c>
      <c r="H5" s="13" t="s">
        <v>563</v>
      </c>
      <c r="I5" t="s">
        <v>14</v>
      </c>
      <c r="J5" t="s">
        <v>566</v>
      </c>
      <c r="K5" t="s">
        <v>566</v>
      </c>
      <c r="L5" s="9" t="s">
        <v>567</v>
      </c>
      <c r="M5" t="s">
        <v>948</v>
      </c>
      <c r="N5" s="6" t="s">
        <v>564</v>
      </c>
      <c r="O5" s="6" t="s">
        <v>7</v>
      </c>
      <c r="P5">
        <v>2013</v>
      </c>
      <c r="Q5" s="29">
        <v>2</v>
      </c>
      <c r="R5" s="29" t="s">
        <v>565</v>
      </c>
      <c r="S5" s="6" t="s">
        <v>246</v>
      </c>
      <c r="T5" t="s">
        <v>10</v>
      </c>
      <c r="U5"/>
      <c r="V5" t="s">
        <v>11</v>
      </c>
      <c r="W5" t="s">
        <v>12</v>
      </c>
      <c r="X5" t="s">
        <v>13</v>
      </c>
      <c r="Y5">
        <v>500</v>
      </c>
      <c r="Z5" t="s">
        <v>11</v>
      </c>
      <c r="AA5">
        <v>359702</v>
      </c>
      <c r="AB5">
        <v>4946074</v>
      </c>
      <c r="AC5">
        <v>2127873</v>
      </c>
      <c r="AD5" t="s">
        <v>80</v>
      </c>
      <c r="AE5" t="s">
        <v>81</v>
      </c>
      <c r="AF5" t="s">
        <v>11</v>
      </c>
      <c r="AG5" s="9" t="s">
        <v>11</v>
      </c>
      <c r="AH5" s="9"/>
      <c r="AI5" s="10" t="s">
        <v>18</v>
      </c>
      <c r="AJ5" s="11" t="s">
        <v>11</v>
      </c>
      <c r="AK5" s="11" t="s">
        <v>11</v>
      </c>
      <c r="AL5" t="s">
        <v>11</v>
      </c>
      <c r="AM5" s="13" t="s">
        <v>568</v>
      </c>
      <c r="AN5" s="10" t="s">
        <v>18</v>
      </c>
      <c r="AO5" t="s">
        <v>11</v>
      </c>
      <c r="AP5" t="s">
        <v>11</v>
      </c>
      <c r="AQ5" t="s">
        <v>11</v>
      </c>
      <c r="AR5" t="s">
        <v>11</v>
      </c>
      <c r="AS5" t="s">
        <v>11</v>
      </c>
      <c r="AT5" t="s">
        <v>11</v>
      </c>
      <c r="AU5"/>
      <c r="AV5" t="s">
        <v>1123</v>
      </c>
      <c r="AW5" s="40">
        <v>45727</v>
      </c>
      <c r="AX5" t="s">
        <v>35</v>
      </c>
      <c r="AY5" t="s">
        <v>1049</v>
      </c>
      <c r="AZ5" s="12" t="s">
        <v>1063</v>
      </c>
      <c r="BA5" s="12" t="s">
        <v>569</v>
      </c>
      <c r="BB5" s="12" t="s">
        <v>1065</v>
      </c>
      <c r="BC5"/>
      <c r="BD5"/>
      <c r="BE5"/>
      <c r="BF5"/>
      <c r="BG5"/>
      <c r="BH5"/>
      <c r="BI5"/>
      <c r="BJ5"/>
      <c r="BK5"/>
      <c r="BL5"/>
      <c r="BM5"/>
      <c r="BN5"/>
      <c r="BO5"/>
      <c r="BP5"/>
      <c r="BQ5"/>
      <c r="BR5"/>
      <c r="BS5"/>
      <c r="BT5"/>
      <c r="BU5"/>
      <c r="BV5"/>
      <c r="BW5"/>
      <c r="BX5"/>
      <c r="BY5"/>
      <c r="BZ5"/>
      <c r="CA5"/>
      <c r="CB5"/>
      <c r="CC5"/>
      <c r="CD5"/>
      <c r="CE5"/>
      <c r="CF5"/>
      <c r="CG5"/>
      <c r="CH5"/>
      <c r="CI5"/>
      <c r="CJ5"/>
      <c r="CK5"/>
      <c r="CL5"/>
      <c r="CM5"/>
    </row>
    <row r="6" spans="1:91" s="15" customFormat="1" ht="99.85" x14ac:dyDescent="0.25">
      <c r="A6" t="s">
        <v>796</v>
      </c>
      <c r="B6" s="6" t="s">
        <v>797</v>
      </c>
      <c r="C6" t="s">
        <v>798</v>
      </c>
      <c r="D6">
        <v>2023</v>
      </c>
      <c r="E6" s="6" t="s">
        <v>799</v>
      </c>
      <c r="F6" s="6" t="s">
        <v>800</v>
      </c>
      <c r="G6" s="6" t="s">
        <v>242</v>
      </c>
      <c r="H6" s="13" t="s">
        <v>801</v>
      </c>
      <c r="I6" t="s">
        <v>14</v>
      </c>
      <c r="J6" t="s">
        <v>804</v>
      </c>
      <c r="K6" t="s">
        <v>970</v>
      </c>
      <c r="L6" s="9" t="s">
        <v>15</v>
      </c>
      <c r="M6" t="s">
        <v>945</v>
      </c>
      <c r="N6" s="6" t="s">
        <v>802</v>
      </c>
      <c r="O6" s="6" t="s">
        <v>7</v>
      </c>
      <c r="P6">
        <v>2014</v>
      </c>
      <c r="Q6">
        <v>5</v>
      </c>
      <c r="R6" s="20" t="s">
        <v>803</v>
      </c>
      <c r="S6" s="6" t="s">
        <v>246</v>
      </c>
      <c r="T6" t="s">
        <v>10</v>
      </c>
      <c r="U6"/>
      <c r="V6" t="s">
        <v>11</v>
      </c>
      <c r="W6" t="s">
        <v>12</v>
      </c>
      <c r="X6" t="s">
        <v>13</v>
      </c>
      <c r="Y6">
        <v>127</v>
      </c>
      <c r="Z6" t="s">
        <v>11</v>
      </c>
      <c r="AA6">
        <v>10998</v>
      </c>
      <c r="AB6"/>
      <c r="AC6">
        <v>445392</v>
      </c>
      <c r="AD6" t="s">
        <v>16</v>
      </c>
      <c r="AE6" t="s">
        <v>11</v>
      </c>
      <c r="AF6" t="s">
        <v>11</v>
      </c>
      <c r="AG6" s="9" t="s">
        <v>17</v>
      </c>
      <c r="AH6"/>
      <c r="AI6" s="10" t="s">
        <v>35</v>
      </c>
      <c r="AJ6" s="11" t="s">
        <v>805</v>
      </c>
      <c r="AK6" s="11" t="s">
        <v>806</v>
      </c>
      <c r="AL6"/>
      <c r="AM6" s="9"/>
      <c r="AN6" s="10" t="s">
        <v>18</v>
      </c>
      <c r="AO6" t="s">
        <v>11</v>
      </c>
      <c r="AP6" t="s">
        <v>11</v>
      </c>
      <c r="AQ6" t="s">
        <v>11</v>
      </c>
      <c r="AR6" t="s">
        <v>11</v>
      </c>
      <c r="AS6" t="s">
        <v>11</v>
      </c>
      <c r="AT6" t="s">
        <v>11</v>
      </c>
      <c r="AU6"/>
      <c r="AV6" t="s">
        <v>1123</v>
      </c>
      <c r="AW6" s="40">
        <v>45782</v>
      </c>
      <c r="AX6" t="s">
        <v>35</v>
      </c>
      <c r="AY6" t="s">
        <v>1049</v>
      </c>
      <c r="AZ6" s="12" t="s">
        <v>1064</v>
      </c>
      <c r="BA6" s="12"/>
      <c r="BB6" s="12"/>
      <c r="BC6"/>
      <c r="BD6"/>
      <c r="BE6"/>
      <c r="BF6"/>
      <c r="BG6"/>
      <c r="BH6"/>
      <c r="BI6"/>
      <c r="BJ6"/>
      <c r="BK6"/>
      <c r="BL6"/>
      <c r="BM6"/>
      <c r="BN6"/>
      <c r="BO6"/>
      <c r="BP6"/>
      <c r="BQ6"/>
      <c r="BR6"/>
      <c r="BS6"/>
      <c r="BT6"/>
      <c r="BU6"/>
      <c r="BV6"/>
      <c r="BW6"/>
      <c r="BX6"/>
      <c r="BY6"/>
      <c r="BZ6"/>
      <c r="CA6"/>
      <c r="CB6"/>
      <c r="CC6"/>
      <c r="CD6"/>
      <c r="CE6"/>
      <c r="CF6"/>
      <c r="CG6"/>
      <c r="CH6"/>
      <c r="CI6"/>
      <c r="CJ6"/>
      <c r="CK6"/>
      <c r="CL6"/>
      <c r="CM6"/>
    </row>
    <row r="7" spans="1:91" s="15" customFormat="1" ht="128.4" x14ac:dyDescent="0.25">
      <c r="A7" t="s">
        <v>628</v>
      </c>
      <c r="B7" s="6" t="s">
        <v>629</v>
      </c>
      <c r="C7" t="s">
        <v>630</v>
      </c>
      <c r="D7">
        <v>2014</v>
      </c>
      <c r="E7" s="6" t="s">
        <v>631</v>
      </c>
      <c r="F7" s="6" t="s">
        <v>271</v>
      </c>
      <c r="G7" s="6" t="s">
        <v>45</v>
      </c>
      <c r="H7" s="13" t="s">
        <v>632</v>
      </c>
      <c r="I7" t="s">
        <v>14</v>
      </c>
      <c r="J7" s="6" t="s">
        <v>971</v>
      </c>
      <c r="K7" s="6" t="s">
        <v>971</v>
      </c>
      <c r="L7" s="9" t="s">
        <v>118</v>
      </c>
      <c r="M7" t="s">
        <v>946</v>
      </c>
      <c r="N7" s="11" t="s">
        <v>633</v>
      </c>
      <c r="O7" s="6" t="s">
        <v>634</v>
      </c>
      <c r="P7" t="s">
        <v>635</v>
      </c>
      <c r="Q7">
        <v>2</v>
      </c>
      <c r="R7" t="s">
        <v>607</v>
      </c>
      <c r="S7" t="s">
        <v>246</v>
      </c>
      <c r="T7" t="s">
        <v>152</v>
      </c>
      <c r="U7" t="s">
        <v>981</v>
      </c>
      <c r="V7" t="s">
        <v>116</v>
      </c>
      <c r="W7" t="s">
        <v>12</v>
      </c>
      <c r="X7" t="s">
        <v>13</v>
      </c>
      <c r="Y7">
        <v>29</v>
      </c>
      <c r="Z7" t="s">
        <v>11</v>
      </c>
      <c r="AA7" t="s">
        <v>11</v>
      </c>
      <c r="AB7"/>
      <c r="AC7" t="s">
        <v>11</v>
      </c>
      <c r="AD7" t="s">
        <v>80</v>
      </c>
      <c r="AE7" t="s">
        <v>81</v>
      </c>
      <c r="AF7" t="s">
        <v>11</v>
      </c>
      <c r="AG7" s="9" t="s">
        <v>11</v>
      </c>
      <c r="AH7"/>
      <c r="AI7" s="10" t="s">
        <v>35</v>
      </c>
      <c r="AJ7" s="11" t="s">
        <v>11</v>
      </c>
      <c r="AK7" s="11" t="s">
        <v>11</v>
      </c>
      <c r="AL7"/>
      <c r="AM7" s="9"/>
      <c r="AN7" s="10" t="s">
        <v>35</v>
      </c>
      <c r="AO7" t="s">
        <v>184</v>
      </c>
      <c r="AP7" t="s">
        <v>636</v>
      </c>
      <c r="AQ7" t="s">
        <v>18</v>
      </c>
      <c r="AR7" t="s">
        <v>11</v>
      </c>
      <c r="AS7" t="s">
        <v>11</v>
      </c>
      <c r="AT7" t="s">
        <v>18</v>
      </c>
      <c r="AU7"/>
      <c r="AV7" t="s">
        <v>1123</v>
      </c>
      <c r="AW7" s="40">
        <v>45727</v>
      </c>
      <c r="AX7" t="s">
        <v>35</v>
      </c>
      <c r="AY7" t="s">
        <v>1049</v>
      </c>
      <c r="AZ7" s="39" t="s">
        <v>637</v>
      </c>
      <c r="BA7" s="39" t="s">
        <v>638</v>
      </c>
      <c r="BB7" s="39" t="s">
        <v>1073</v>
      </c>
      <c r="BC7"/>
      <c r="BD7"/>
      <c r="BE7"/>
      <c r="BF7"/>
      <c r="BG7"/>
      <c r="BH7"/>
      <c r="BI7"/>
      <c r="BJ7"/>
      <c r="BK7"/>
      <c r="BL7"/>
      <c r="BM7"/>
      <c r="BN7"/>
      <c r="BO7"/>
      <c r="BP7"/>
      <c r="BQ7"/>
      <c r="BR7"/>
      <c r="BS7"/>
      <c r="BT7"/>
      <c r="BU7"/>
      <c r="BV7"/>
      <c r="BW7"/>
      <c r="BX7"/>
      <c r="BY7"/>
      <c r="BZ7"/>
      <c r="CA7"/>
      <c r="CB7"/>
      <c r="CC7"/>
      <c r="CD7"/>
      <c r="CE7"/>
      <c r="CF7"/>
      <c r="CG7"/>
      <c r="CH7"/>
      <c r="CI7"/>
      <c r="CJ7"/>
      <c r="CK7"/>
      <c r="CL7"/>
      <c r="CM7"/>
    </row>
    <row r="8" spans="1:91" s="15" customFormat="1" ht="103.75" customHeight="1" x14ac:dyDescent="0.25">
      <c r="A8" t="s">
        <v>453</v>
      </c>
      <c r="B8" s="6" t="s">
        <v>454</v>
      </c>
      <c r="C8" t="s">
        <v>455</v>
      </c>
      <c r="D8">
        <v>2017</v>
      </c>
      <c r="E8" s="6" t="s">
        <v>160</v>
      </c>
      <c r="F8" s="6" t="s">
        <v>150</v>
      </c>
      <c r="G8" s="6" t="s">
        <v>150</v>
      </c>
      <c r="H8" s="13" t="s">
        <v>456</v>
      </c>
      <c r="I8" t="s">
        <v>232</v>
      </c>
      <c r="J8" t="s">
        <v>460</v>
      </c>
      <c r="K8" t="s">
        <v>460</v>
      </c>
      <c r="L8" s="9" t="s">
        <v>294</v>
      </c>
      <c r="M8" t="s">
        <v>945</v>
      </c>
      <c r="N8" s="11" t="s">
        <v>457</v>
      </c>
      <c r="O8" s="6" t="s">
        <v>229</v>
      </c>
      <c r="P8">
        <v>2014</v>
      </c>
      <c r="Q8" t="s">
        <v>458</v>
      </c>
      <c r="R8" t="s">
        <v>459</v>
      </c>
      <c r="S8" t="s">
        <v>246</v>
      </c>
      <c r="T8" t="s">
        <v>10</v>
      </c>
      <c r="U8"/>
      <c r="V8" t="s">
        <v>11</v>
      </c>
      <c r="W8" t="s">
        <v>12</v>
      </c>
      <c r="X8" t="s">
        <v>231</v>
      </c>
      <c r="Y8">
        <v>1</v>
      </c>
      <c r="Z8">
        <v>144</v>
      </c>
      <c r="AA8">
        <v>194410</v>
      </c>
      <c r="AB8"/>
      <c r="AC8" t="s">
        <v>11</v>
      </c>
      <c r="AD8" t="s">
        <v>16</v>
      </c>
      <c r="AE8" t="s">
        <v>11</v>
      </c>
      <c r="AF8" t="s">
        <v>11</v>
      </c>
      <c r="AG8" s="9" t="s">
        <v>461</v>
      </c>
      <c r="AH8" s="10"/>
      <c r="AI8" s="10" t="s">
        <v>18</v>
      </c>
      <c r="AJ8" s="11" t="s">
        <v>462</v>
      </c>
      <c r="AK8" s="11" t="s">
        <v>463</v>
      </c>
      <c r="AL8" t="s">
        <v>18</v>
      </c>
      <c r="AM8" s="9" t="s">
        <v>18</v>
      </c>
      <c r="AN8" s="10" t="s">
        <v>18</v>
      </c>
      <c r="AO8" t="s">
        <v>11</v>
      </c>
      <c r="AP8" t="s">
        <v>11</v>
      </c>
      <c r="AQ8" t="s">
        <v>11</v>
      </c>
      <c r="AR8" t="s">
        <v>11</v>
      </c>
      <c r="AS8" t="s">
        <v>11</v>
      </c>
      <c r="AT8" t="s">
        <v>11</v>
      </c>
      <c r="AU8"/>
      <c r="AV8" t="s">
        <v>1123</v>
      </c>
      <c r="AW8" s="40">
        <v>45715</v>
      </c>
      <c r="AX8" t="s">
        <v>35</v>
      </c>
      <c r="AY8" t="s">
        <v>1049</v>
      </c>
      <c r="AZ8" s="12"/>
      <c r="BA8" s="12"/>
      <c r="BB8" s="12"/>
      <c r="BC8"/>
      <c r="BD8"/>
      <c r="BE8"/>
      <c r="BF8"/>
      <c r="BG8"/>
      <c r="BH8"/>
      <c r="BI8"/>
      <c r="BJ8"/>
      <c r="BK8"/>
      <c r="BL8"/>
      <c r="BM8"/>
      <c r="BN8"/>
      <c r="BO8"/>
      <c r="BP8"/>
      <c r="BQ8"/>
      <c r="BR8"/>
      <c r="BS8"/>
      <c r="BT8"/>
      <c r="BU8"/>
      <c r="BV8"/>
      <c r="BW8"/>
      <c r="BX8"/>
      <c r="BY8"/>
      <c r="BZ8"/>
      <c r="CA8"/>
      <c r="CB8"/>
      <c r="CC8"/>
      <c r="CD8"/>
      <c r="CE8"/>
      <c r="CF8"/>
      <c r="CG8"/>
      <c r="CH8"/>
      <c r="CI8"/>
      <c r="CJ8"/>
      <c r="CK8"/>
      <c r="CL8"/>
      <c r="CM8"/>
    </row>
    <row r="9" spans="1:91" ht="104.95" customHeight="1" x14ac:dyDescent="0.25">
      <c r="A9" t="s">
        <v>464</v>
      </c>
      <c r="B9" s="6" t="s">
        <v>465</v>
      </c>
      <c r="C9" t="s">
        <v>466</v>
      </c>
      <c r="D9">
        <v>2016</v>
      </c>
      <c r="E9" s="6" t="s">
        <v>1044</v>
      </c>
      <c r="F9" s="6" t="s">
        <v>1046</v>
      </c>
      <c r="G9" s="6" t="s">
        <v>1046</v>
      </c>
      <c r="H9" s="13" t="s">
        <v>467</v>
      </c>
      <c r="I9" t="s">
        <v>14</v>
      </c>
      <c r="J9" t="s">
        <v>474</v>
      </c>
      <c r="K9" t="s">
        <v>474</v>
      </c>
      <c r="L9" s="9" t="s">
        <v>138</v>
      </c>
      <c r="M9" t="s">
        <v>945</v>
      </c>
      <c r="N9" s="6" t="s">
        <v>132</v>
      </c>
      <c r="O9" s="6" t="s">
        <v>7</v>
      </c>
      <c r="P9" t="s">
        <v>469</v>
      </c>
      <c r="Q9">
        <v>3</v>
      </c>
      <c r="R9" t="s">
        <v>470</v>
      </c>
      <c r="S9" t="s">
        <v>246</v>
      </c>
      <c r="T9" t="s">
        <v>152</v>
      </c>
      <c r="U9" t="s">
        <v>980</v>
      </c>
      <c r="V9" t="s">
        <v>955</v>
      </c>
      <c r="W9" t="s">
        <v>12</v>
      </c>
      <c r="X9" t="s">
        <v>13</v>
      </c>
      <c r="Y9" t="s">
        <v>471</v>
      </c>
      <c r="Z9" t="s">
        <v>11</v>
      </c>
      <c r="AA9">
        <v>530400</v>
      </c>
      <c r="AB9" t="s">
        <v>472</v>
      </c>
      <c r="AC9" t="s">
        <v>473</v>
      </c>
      <c r="AD9" t="s">
        <v>80</v>
      </c>
      <c r="AE9" t="s">
        <v>81</v>
      </c>
      <c r="AF9" t="s">
        <v>11</v>
      </c>
      <c r="AG9" s="9" t="s">
        <v>11</v>
      </c>
      <c r="AH9" t="s">
        <v>11</v>
      </c>
      <c r="AI9" s="10" t="s">
        <v>18</v>
      </c>
      <c r="AJ9" s="11" t="s">
        <v>475</v>
      </c>
      <c r="AK9" s="11" t="s">
        <v>476</v>
      </c>
      <c r="AL9" t="s">
        <v>11</v>
      </c>
      <c r="AM9" t="s">
        <v>477</v>
      </c>
      <c r="AN9" s="10" t="s">
        <v>35</v>
      </c>
      <c r="AO9" t="s">
        <v>184</v>
      </c>
      <c r="AP9" t="s">
        <v>185</v>
      </c>
      <c r="AQ9" t="s">
        <v>35</v>
      </c>
      <c r="AR9" s="6" t="s">
        <v>478</v>
      </c>
      <c r="AS9" s="6" t="s">
        <v>479</v>
      </c>
      <c r="AT9" t="s">
        <v>18</v>
      </c>
      <c r="AU9"/>
      <c r="AV9" t="s">
        <v>1123</v>
      </c>
      <c r="AW9" s="40">
        <v>45726</v>
      </c>
      <c r="AX9" t="s">
        <v>35</v>
      </c>
      <c r="AY9" t="s">
        <v>1049</v>
      </c>
      <c r="AZ9" s="39" t="s">
        <v>1074</v>
      </c>
      <c r="BA9" s="39" t="s">
        <v>1075</v>
      </c>
      <c r="BB9" s="39" t="s">
        <v>1076</v>
      </c>
    </row>
    <row r="10" spans="1:91" ht="199.7" x14ac:dyDescent="0.25">
      <c r="A10" t="s">
        <v>480</v>
      </c>
      <c r="B10" s="6" t="s">
        <v>481</v>
      </c>
      <c r="C10" t="s">
        <v>482</v>
      </c>
      <c r="D10">
        <v>2017</v>
      </c>
      <c r="E10" s="6" t="s">
        <v>1045</v>
      </c>
      <c r="F10" s="6" t="s">
        <v>1046</v>
      </c>
      <c r="G10" s="6" t="s">
        <v>1046</v>
      </c>
      <c r="H10" s="13" t="s">
        <v>483</v>
      </c>
      <c r="I10" t="s">
        <v>14</v>
      </c>
      <c r="J10" t="s">
        <v>474</v>
      </c>
      <c r="K10" t="s">
        <v>474</v>
      </c>
      <c r="L10" s="9" t="s">
        <v>138</v>
      </c>
      <c r="M10" t="s">
        <v>945</v>
      </c>
      <c r="N10" s="6" t="s">
        <v>132</v>
      </c>
      <c r="O10" s="6" t="s">
        <v>7</v>
      </c>
      <c r="P10">
        <v>2009</v>
      </c>
      <c r="Q10">
        <v>3</v>
      </c>
      <c r="R10" t="s">
        <v>470</v>
      </c>
      <c r="S10" t="s">
        <v>246</v>
      </c>
      <c r="T10" t="s">
        <v>152</v>
      </c>
      <c r="U10" t="s">
        <v>981</v>
      </c>
      <c r="V10" t="s">
        <v>430</v>
      </c>
      <c r="W10" t="s">
        <v>12</v>
      </c>
      <c r="X10" t="s">
        <v>13</v>
      </c>
      <c r="Y10">
        <v>185</v>
      </c>
      <c r="Z10" t="s">
        <v>11</v>
      </c>
      <c r="AA10">
        <v>67000</v>
      </c>
      <c r="AB10" t="s">
        <v>484</v>
      </c>
      <c r="AC10" t="s">
        <v>485</v>
      </c>
      <c r="AD10" t="s">
        <v>16</v>
      </c>
      <c r="AE10" t="s">
        <v>11</v>
      </c>
      <c r="AF10" t="s">
        <v>11</v>
      </c>
      <c r="AG10" s="9" t="s">
        <v>486</v>
      </c>
      <c r="AH10" t="s">
        <v>487</v>
      </c>
      <c r="AI10" s="10" t="s">
        <v>18</v>
      </c>
      <c r="AJ10" s="11" t="s">
        <v>488</v>
      </c>
      <c r="AK10" s="11" t="s">
        <v>489</v>
      </c>
      <c r="AL10" t="s">
        <v>11</v>
      </c>
      <c r="AM10" t="s">
        <v>490</v>
      </c>
      <c r="AN10" s="10" t="s">
        <v>35</v>
      </c>
      <c r="AO10" t="s">
        <v>184</v>
      </c>
      <c r="AP10" t="s">
        <v>185</v>
      </c>
      <c r="AQ10" t="s">
        <v>35</v>
      </c>
      <c r="AR10" s="6" t="s">
        <v>491</v>
      </c>
      <c r="AS10" s="6" t="s">
        <v>479</v>
      </c>
      <c r="AT10" t="s">
        <v>18</v>
      </c>
      <c r="AU10"/>
      <c r="AV10" t="s">
        <v>1123</v>
      </c>
      <c r="AW10" s="40">
        <v>45726</v>
      </c>
      <c r="AX10" t="s">
        <v>35</v>
      </c>
      <c r="AY10" t="s">
        <v>492</v>
      </c>
      <c r="AZ10" s="35" t="s">
        <v>493</v>
      </c>
      <c r="BA10" s="39" t="s">
        <v>1077</v>
      </c>
      <c r="BB10" s="39" t="s">
        <v>1078</v>
      </c>
    </row>
    <row r="11" spans="1:91" ht="71.349999999999994" x14ac:dyDescent="0.25">
      <c r="A11" t="s">
        <v>157</v>
      </c>
      <c r="B11" s="6" t="s">
        <v>158</v>
      </c>
      <c r="C11" t="s">
        <v>159</v>
      </c>
      <c r="D11">
        <v>2023</v>
      </c>
      <c r="E11" s="6" t="s">
        <v>160</v>
      </c>
      <c r="F11" s="6" t="s">
        <v>150</v>
      </c>
      <c r="G11" s="6" t="s">
        <v>150</v>
      </c>
      <c r="H11" s="13" t="s">
        <v>161</v>
      </c>
      <c r="I11" t="s">
        <v>14</v>
      </c>
      <c r="J11" t="s">
        <v>1039</v>
      </c>
      <c r="K11" t="s">
        <v>943</v>
      </c>
      <c r="L11" s="9" t="s">
        <v>118</v>
      </c>
      <c r="M11" t="s">
        <v>946</v>
      </c>
      <c r="N11" s="6" t="s">
        <v>162</v>
      </c>
      <c r="O11" s="6" t="s">
        <v>7</v>
      </c>
      <c r="P11" t="s">
        <v>163</v>
      </c>
      <c r="Q11">
        <v>1</v>
      </c>
      <c r="R11" t="s">
        <v>164</v>
      </c>
      <c r="S11" t="s">
        <v>9</v>
      </c>
      <c r="T11" t="s">
        <v>152</v>
      </c>
      <c r="U11" t="s">
        <v>979</v>
      </c>
      <c r="V11" t="s">
        <v>955</v>
      </c>
      <c r="W11" t="s">
        <v>12</v>
      </c>
      <c r="X11" t="s">
        <v>13</v>
      </c>
      <c r="Y11" t="s">
        <v>165</v>
      </c>
      <c r="Z11" t="s">
        <v>11</v>
      </c>
      <c r="AA11" t="s">
        <v>166</v>
      </c>
      <c r="AC11" t="s">
        <v>167</v>
      </c>
      <c r="AD11" t="s">
        <v>80</v>
      </c>
      <c r="AE11" t="s">
        <v>81</v>
      </c>
      <c r="AF11" t="s">
        <v>11</v>
      </c>
      <c r="AG11" s="9" t="s">
        <v>11</v>
      </c>
      <c r="AH11"/>
      <c r="AI11" s="10" t="s">
        <v>35</v>
      </c>
      <c r="AJ11" s="11" t="s">
        <v>168</v>
      </c>
      <c r="AK11" s="11" t="s">
        <v>168</v>
      </c>
      <c r="AL11" t="s">
        <v>169</v>
      </c>
      <c r="AM11" s="9"/>
      <c r="AN11" s="10" t="s">
        <v>18</v>
      </c>
      <c r="AO11" t="s">
        <v>11</v>
      </c>
      <c r="AP11" t="s">
        <v>11</v>
      </c>
      <c r="AQ11" t="s">
        <v>11</v>
      </c>
      <c r="AR11" t="s">
        <v>11</v>
      </c>
      <c r="AS11" t="s">
        <v>11</v>
      </c>
      <c r="AT11" t="s">
        <v>11</v>
      </c>
      <c r="AU11"/>
      <c r="AV11" t="s">
        <v>1123</v>
      </c>
      <c r="AW11" s="40">
        <v>45715</v>
      </c>
      <c r="AX11" t="s">
        <v>35</v>
      </c>
      <c r="AY11" t="s">
        <v>1049</v>
      </c>
      <c r="AZ11" s="38" t="s">
        <v>1066</v>
      </c>
      <c r="BA11" s="38" t="s">
        <v>1067</v>
      </c>
      <c r="BB11" s="38" t="s">
        <v>1068</v>
      </c>
    </row>
    <row r="12" spans="1:91" ht="57.1" x14ac:dyDescent="0.25">
      <c r="A12" t="s">
        <v>926</v>
      </c>
      <c r="I12" t="s">
        <v>14</v>
      </c>
      <c r="J12" t="s">
        <v>959</v>
      </c>
      <c r="K12" t="s">
        <v>984</v>
      </c>
      <c r="L12" s="9" t="s">
        <v>118</v>
      </c>
      <c r="M12" t="s">
        <v>946</v>
      </c>
      <c r="N12" s="6" t="s">
        <v>162</v>
      </c>
      <c r="O12" s="6" t="s">
        <v>7</v>
      </c>
      <c r="P12">
        <v>2011</v>
      </c>
      <c r="Q12">
        <v>1</v>
      </c>
      <c r="R12" t="s">
        <v>164</v>
      </c>
      <c r="S12" t="s">
        <v>9</v>
      </c>
      <c r="T12" t="s">
        <v>152</v>
      </c>
      <c r="U12" t="s">
        <v>979</v>
      </c>
      <c r="V12" t="s">
        <v>955</v>
      </c>
      <c r="W12" t="s">
        <v>12</v>
      </c>
      <c r="X12" t="s">
        <v>13</v>
      </c>
      <c r="Y12">
        <v>396</v>
      </c>
      <c r="Z12" t="s">
        <v>11</v>
      </c>
      <c r="AA12">
        <v>46659</v>
      </c>
      <c r="AC12">
        <v>1415728</v>
      </c>
      <c r="AD12" t="s">
        <v>80</v>
      </c>
      <c r="AE12" t="s">
        <v>81</v>
      </c>
      <c r="AF12" t="s">
        <v>11</v>
      </c>
      <c r="AG12" s="9" t="s">
        <v>11</v>
      </c>
      <c r="AH12"/>
      <c r="AI12" s="10"/>
      <c r="AJ12" s="11" t="s">
        <v>168</v>
      </c>
      <c r="AK12" s="11" t="s">
        <v>168</v>
      </c>
      <c r="AL12" t="s">
        <v>169</v>
      </c>
      <c r="AM12" s="9"/>
      <c r="AN12" s="10" t="s">
        <v>18</v>
      </c>
      <c r="AO12" t="s">
        <v>11</v>
      </c>
      <c r="AP12" t="s">
        <v>11</v>
      </c>
      <c r="AQ12" t="s">
        <v>11</v>
      </c>
      <c r="AR12" t="s">
        <v>11</v>
      </c>
      <c r="AS12" t="s">
        <v>11</v>
      </c>
      <c r="AT12" t="s">
        <v>11</v>
      </c>
      <c r="AU12"/>
      <c r="AV12" t="s">
        <v>1123</v>
      </c>
      <c r="AW12"/>
      <c r="AX12" t="s">
        <v>35</v>
      </c>
      <c r="AY12" t="s">
        <v>1049</v>
      </c>
      <c r="AZ12" s="12"/>
      <c r="BA12" s="12"/>
      <c r="BB12" s="12"/>
    </row>
    <row r="13" spans="1:91" ht="57.1" x14ac:dyDescent="0.25">
      <c r="A13" t="s">
        <v>927</v>
      </c>
      <c r="I13" t="s">
        <v>14</v>
      </c>
      <c r="J13" t="s">
        <v>972</v>
      </c>
      <c r="K13" t="s">
        <v>972</v>
      </c>
      <c r="L13" s="9" t="s">
        <v>118</v>
      </c>
      <c r="M13" t="s">
        <v>946</v>
      </c>
      <c r="N13" s="6" t="s">
        <v>162</v>
      </c>
      <c r="O13" s="6" t="s">
        <v>7</v>
      </c>
      <c r="P13">
        <v>2014</v>
      </c>
      <c r="Q13">
        <v>1</v>
      </c>
      <c r="R13" t="s">
        <v>164</v>
      </c>
      <c r="S13" t="s">
        <v>9</v>
      </c>
      <c r="T13" t="s">
        <v>152</v>
      </c>
      <c r="U13" t="s">
        <v>979</v>
      </c>
      <c r="V13" t="s">
        <v>955</v>
      </c>
      <c r="W13" t="s">
        <v>12</v>
      </c>
      <c r="X13" t="s">
        <v>13</v>
      </c>
      <c r="Y13">
        <v>272</v>
      </c>
      <c r="Z13" t="s">
        <v>11</v>
      </c>
      <c r="AA13">
        <v>25364</v>
      </c>
      <c r="AC13">
        <v>1246169</v>
      </c>
      <c r="AD13" t="s">
        <v>80</v>
      </c>
      <c r="AE13" t="s">
        <v>81</v>
      </c>
      <c r="AF13" t="s">
        <v>11</v>
      </c>
      <c r="AG13" s="9" t="s">
        <v>11</v>
      </c>
      <c r="AH13"/>
      <c r="AI13" s="10"/>
      <c r="AJ13" s="11" t="s">
        <v>168</v>
      </c>
      <c r="AK13" s="11" t="s">
        <v>168</v>
      </c>
      <c r="AL13" t="s">
        <v>169</v>
      </c>
      <c r="AM13" s="9"/>
      <c r="AN13" s="10" t="s">
        <v>18</v>
      </c>
      <c r="AO13" t="s">
        <v>11</v>
      </c>
      <c r="AP13" t="s">
        <v>11</v>
      </c>
      <c r="AQ13" t="s">
        <v>11</v>
      </c>
      <c r="AR13" t="s">
        <v>11</v>
      </c>
      <c r="AS13" t="s">
        <v>11</v>
      </c>
      <c r="AT13" t="s">
        <v>11</v>
      </c>
      <c r="AU13"/>
      <c r="AV13" t="s">
        <v>1123</v>
      </c>
      <c r="AW13"/>
      <c r="AX13" t="s">
        <v>35</v>
      </c>
      <c r="AY13" t="s">
        <v>1049</v>
      </c>
      <c r="AZ13" s="12"/>
      <c r="BA13" s="12"/>
      <c r="BB13" s="12"/>
    </row>
    <row r="14" spans="1:91" ht="57.1" x14ac:dyDescent="0.25">
      <c r="A14" t="s">
        <v>437</v>
      </c>
      <c r="B14" s="6" t="s">
        <v>438</v>
      </c>
      <c r="C14" t="s">
        <v>439</v>
      </c>
      <c r="D14">
        <v>2022</v>
      </c>
      <c r="E14" t="s">
        <v>440</v>
      </c>
      <c r="F14" s="6" t="s">
        <v>29</v>
      </c>
      <c r="G14" s="6" t="s">
        <v>30</v>
      </c>
      <c r="H14" s="13" t="s">
        <v>441</v>
      </c>
      <c r="I14" t="s">
        <v>14</v>
      </c>
      <c r="J14" s="6" t="s">
        <v>445</v>
      </c>
      <c r="K14" s="6" t="s">
        <v>445</v>
      </c>
      <c r="L14" s="9" t="s">
        <v>15</v>
      </c>
      <c r="M14" t="s">
        <v>945</v>
      </c>
      <c r="N14" s="6" t="s">
        <v>442</v>
      </c>
      <c r="O14" s="6" t="s">
        <v>7</v>
      </c>
      <c r="P14">
        <v>2014</v>
      </c>
      <c r="Q14">
        <v>1</v>
      </c>
      <c r="R14" t="s">
        <v>430</v>
      </c>
      <c r="S14" t="s">
        <v>246</v>
      </c>
      <c r="T14" t="s">
        <v>10</v>
      </c>
      <c r="V14" t="s">
        <v>11</v>
      </c>
      <c r="W14" t="s">
        <v>12</v>
      </c>
      <c r="X14" t="s">
        <v>13</v>
      </c>
      <c r="Y14">
        <v>145</v>
      </c>
      <c r="Z14" s="6" t="s">
        <v>11</v>
      </c>
      <c r="AA14">
        <v>15516</v>
      </c>
      <c r="AB14" t="s">
        <v>443</v>
      </c>
      <c r="AC14" s="6" t="s">
        <v>444</v>
      </c>
      <c r="AD14" t="s">
        <v>80</v>
      </c>
      <c r="AE14" t="s">
        <v>81</v>
      </c>
      <c r="AF14" s="6" t="s">
        <v>11</v>
      </c>
      <c r="AG14" s="9" t="s">
        <v>11</v>
      </c>
      <c r="AH14"/>
      <c r="AI14" s="10" t="s">
        <v>18</v>
      </c>
      <c r="AJ14" s="11" t="s">
        <v>446</v>
      </c>
      <c r="AK14" s="11" t="s">
        <v>447</v>
      </c>
      <c r="AL14" t="s">
        <v>448</v>
      </c>
      <c r="AM14" s="9" t="s">
        <v>449</v>
      </c>
      <c r="AN14" s="10" t="s">
        <v>18</v>
      </c>
      <c r="AO14" t="s">
        <v>11</v>
      </c>
      <c r="AP14" t="s">
        <v>11</v>
      </c>
      <c r="AQ14" t="s">
        <v>11</v>
      </c>
      <c r="AR14" t="s">
        <v>11</v>
      </c>
      <c r="AS14" t="s">
        <v>11</v>
      </c>
      <c r="AT14" t="s">
        <v>11</v>
      </c>
      <c r="AU14"/>
      <c r="AV14" t="s">
        <v>1123</v>
      </c>
      <c r="AW14" s="40">
        <v>45726</v>
      </c>
      <c r="AX14" t="s">
        <v>35</v>
      </c>
      <c r="AY14" t="s">
        <v>1049</v>
      </c>
      <c r="AZ14" s="12" t="s">
        <v>450</v>
      </c>
      <c r="BA14" s="12" t="s">
        <v>451</v>
      </c>
      <c r="BB14" s="12" t="s">
        <v>452</v>
      </c>
    </row>
    <row r="15" spans="1:91" ht="85.6" x14ac:dyDescent="0.25">
      <c r="A15" t="s">
        <v>108</v>
      </c>
      <c r="B15" s="6" t="s">
        <v>109</v>
      </c>
      <c r="C15" t="s">
        <v>110</v>
      </c>
      <c r="D15">
        <v>2020</v>
      </c>
      <c r="E15" t="s">
        <v>111</v>
      </c>
      <c r="F15" s="6" t="s">
        <v>112</v>
      </c>
      <c r="G15" s="6" t="s">
        <v>45</v>
      </c>
      <c r="H15" s="13" t="s">
        <v>113</v>
      </c>
      <c r="I15" t="s">
        <v>14</v>
      </c>
      <c r="J15" s="6" t="s">
        <v>1037</v>
      </c>
      <c r="K15" s="6" t="s">
        <v>1037</v>
      </c>
      <c r="L15" s="9" t="s">
        <v>118</v>
      </c>
      <c r="M15" t="s">
        <v>946</v>
      </c>
      <c r="N15" s="6" t="s">
        <v>114</v>
      </c>
      <c r="O15" s="6" t="s">
        <v>7</v>
      </c>
      <c r="P15">
        <v>2016</v>
      </c>
      <c r="Q15">
        <v>1</v>
      </c>
      <c r="R15" t="s">
        <v>115</v>
      </c>
      <c r="S15" t="s">
        <v>9</v>
      </c>
      <c r="T15" t="s">
        <v>152</v>
      </c>
      <c r="U15" t="s">
        <v>980</v>
      </c>
      <c r="V15" t="s">
        <v>116</v>
      </c>
      <c r="W15" t="s">
        <v>117</v>
      </c>
      <c r="X15" t="s">
        <v>13</v>
      </c>
      <c r="Y15">
        <v>99</v>
      </c>
      <c r="Z15" s="6" t="s">
        <v>11</v>
      </c>
      <c r="AA15" t="s">
        <v>11</v>
      </c>
      <c r="AB15" t="s">
        <v>11</v>
      </c>
      <c r="AC15" s="6" t="s">
        <v>11</v>
      </c>
      <c r="AD15" t="s">
        <v>80</v>
      </c>
      <c r="AE15" t="s">
        <v>81</v>
      </c>
      <c r="AF15" t="s">
        <v>11</v>
      </c>
      <c r="AG15" s="9" t="s">
        <v>11</v>
      </c>
      <c r="AH15"/>
      <c r="AI15" s="10" t="s">
        <v>18</v>
      </c>
      <c r="AJ15" s="11" t="s">
        <v>119</v>
      </c>
      <c r="AK15" s="11" t="s">
        <v>120</v>
      </c>
      <c r="AL15" t="s">
        <v>121</v>
      </c>
      <c r="AM15" s="9" t="s">
        <v>122</v>
      </c>
      <c r="AN15" s="10" t="s">
        <v>18</v>
      </c>
      <c r="AO15" t="s">
        <v>11</v>
      </c>
      <c r="AP15" t="s">
        <v>11</v>
      </c>
      <c r="AQ15" t="s">
        <v>11</v>
      </c>
      <c r="AR15" t="s">
        <v>11</v>
      </c>
      <c r="AS15" t="s">
        <v>11</v>
      </c>
      <c r="AT15" t="s">
        <v>35</v>
      </c>
      <c r="AU15"/>
      <c r="AV15" t="s">
        <v>1123</v>
      </c>
      <c r="AW15" s="40">
        <v>45715</v>
      </c>
      <c r="AX15" t="s">
        <v>35</v>
      </c>
      <c r="AY15" t="s">
        <v>1049</v>
      </c>
      <c r="AZ15" s="12" t="s">
        <v>123</v>
      </c>
      <c r="BA15" s="12" t="s">
        <v>124</v>
      </c>
      <c r="BB15" s="12" t="s">
        <v>125</v>
      </c>
    </row>
    <row r="16" spans="1:91" ht="85.6" x14ac:dyDescent="0.25">
      <c r="A16" t="s">
        <v>580</v>
      </c>
      <c r="B16" s="6" t="s">
        <v>581</v>
      </c>
      <c r="C16" t="s">
        <v>582</v>
      </c>
      <c r="D16">
        <v>2019</v>
      </c>
      <c r="E16" t="s">
        <v>192</v>
      </c>
      <c r="F16" s="6" t="s">
        <v>193</v>
      </c>
      <c r="G16" s="6" t="s">
        <v>45</v>
      </c>
      <c r="H16" s="13" t="s">
        <v>583</v>
      </c>
      <c r="I16" t="s">
        <v>232</v>
      </c>
      <c r="J16" t="s">
        <v>973</v>
      </c>
      <c r="K16" t="s">
        <v>973</v>
      </c>
      <c r="L16" s="9" t="s">
        <v>118</v>
      </c>
      <c r="M16" t="s">
        <v>946</v>
      </c>
      <c r="N16" s="6" t="s">
        <v>584</v>
      </c>
      <c r="O16" s="6" t="s">
        <v>229</v>
      </c>
      <c r="P16">
        <v>2013</v>
      </c>
      <c r="Q16">
        <v>2</v>
      </c>
      <c r="R16" t="s">
        <v>585</v>
      </c>
      <c r="S16" t="s">
        <v>9</v>
      </c>
      <c r="T16" t="s">
        <v>10</v>
      </c>
      <c r="V16" t="s">
        <v>11</v>
      </c>
      <c r="W16" t="s">
        <v>12</v>
      </c>
      <c r="X16" t="s">
        <v>231</v>
      </c>
      <c r="Y16">
        <v>1</v>
      </c>
      <c r="Z16">
        <v>40</v>
      </c>
      <c r="AA16" t="s">
        <v>11</v>
      </c>
      <c r="AD16" t="s">
        <v>80</v>
      </c>
      <c r="AE16" t="s">
        <v>195</v>
      </c>
      <c r="AF16" t="s">
        <v>461</v>
      </c>
      <c r="AG16" s="9" t="s">
        <v>11</v>
      </c>
      <c r="AH16"/>
      <c r="AI16" s="10"/>
      <c r="AJ16" s="11" t="s">
        <v>586</v>
      </c>
      <c r="AK16" s="11" t="s">
        <v>587</v>
      </c>
      <c r="AL16"/>
      <c r="AM16" s="9"/>
      <c r="AN16" s="10" t="s">
        <v>18</v>
      </c>
      <c r="AO16" t="s">
        <v>11</v>
      </c>
      <c r="AP16" t="s">
        <v>11</v>
      </c>
      <c r="AQ16" t="s">
        <v>11</v>
      </c>
      <c r="AR16" t="s">
        <v>11</v>
      </c>
      <c r="AS16" t="s">
        <v>11</v>
      </c>
      <c r="AT16" t="s">
        <v>11</v>
      </c>
      <c r="AU16"/>
      <c r="AV16" t="s">
        <v>1123</v>
      </c>
      <c r="AW16" s="40">
        <v>45715</v>
      </c>
      <c r="AX16" t="s">
        <v>35</v>
      </c>
      <c r="AY16" t="s">
        <v>1049</v>
      </c>
      <c r="AZ16" s="12">
        <v>0</v>
      </c>
      <c r="BA16" s="12">
        <v>0</v>
      </c>
      <c r="BB16" s="12">
        <v>0</v>
      </c>
    </row>
    <row r="17" spans="1:54" ht="142.65" x14ac:dyDescent="0.25">
      <c r="A17" t="s">
        <v>412</v>
      </c>
      <c r="B17" s="6" t="s">
        <v>413</v>
      </c>
      <c r="C17" t="s">
        <v>414</v>
      </c>
      <c r="D17">
        <v>2017</v>
      </c>
      <c r="E17" t="s">
        <v>88</v>
      </c>
      <c r="F17" s="6" t="s">
        <v>89</v>
      </c>
      <c r="G17" s="6" t="s">
        <v>90</v>
      </c>
      <c r="H17" s="6" t="s">
        <v>415</v>
      </c>
      <c r="I17" t="s">
        <v>14</v>
      </c>
      <c r="J17" t="s">
        <v>418</v>
      </c>
      <c r="K17" t="s">
        <v>418</v>
      </c>
      <c r="L17" s="9" t="s">
        <v>15</v>
      </c>
      <c r="M17" t="s">
        <v>945</v>
      </c>
      <c r="N17" s="6" t="s">
        <v>416</v>
      </c>
      <c r="O17" s="6" t="s">
        <v>7</v>
      </c>
      <c r="P17">
        <v>2007</v>
      </c>
      <c r="Q17">
        <v>1</v>
      </c>
      <c r="R17" t="s">
        <v>417</v>
      </c>
      <c r="S17" s="6" t="s">
        <v>9</v>
      </c>
      <c r="T17" t="s">
        <v>10</v>
      </c>
      <c r="U17" t="s">
        <v>981</v>
      </c>
      <c r="V17" t="s">
        <v>11</v>
      </c>
      <c r="W17" t="s">
        <v>12</v>
      </c>
      <c r="X17" t="s">
        <v>13</v>
      </c>
      <c r="Y17">
        <v>110</v>
      </c>
      <c r="Z17" t="s">
        <v>11</v>
      </c>
      <c r="AA17" t="s">
        <v>11</v>
      </c>
      <c r="AC17">
        <v>16557</v>
      </c>
      <c r="AD17" t="s">
        <v>80</v>
      </c>
      <c r="AE17" t="s">
        <v>81</v>
      </c>
      <c r="AF17" t="s">
        <v>11</v>
      </c>
      <c r="AG17" s="9" t="s">
        <v>11</v>
      </c>
      <c r="AH17"/>
      <c r="AI17" s="10" t="s">
        <v>18</v>
      </c>
      <c r="AJ17" s="11" t="s">
        <v>419</v>
      </c>
      <c r="AK17" s="11" t="s">
        <v>420</v>
      </c>
      <c r="AL17" t="s">
        <v>11</v>
      </c>
      <c r="AM17" s="9" t="s">
        <v>421</v>
      </c>
      <c r="AN17" s="10" t="s">
        <v>18</v>
      </c>
      <c r="AO17" t="s">
        <v>11</v>
      </c>
      <c r="AP17" t="s">
        <v>11</v>
      </c>
      <c r="AQ17" t="s">
        <v>11</v>
      </c>
      <c r="AR17" t="s">
        <v>11</v>
      </c>
      <c r="AS17" t="s">
        <v>11</v>
      </c>
      <c r="AT17" t="s">
        <v>11</v>
      </c>
      <c r="AU17"/>
      <c r="AV17" t="s">
        <v>1123</v>
      </c>
      <c r="AW17" s="40">
        <v>45726</v>
      </c>
      <c r="AX17" t="s">
        <v>35</v>
      </c>
      <c r="AY17" t="s">
        <v>1049</v>
      </c>
      <c r="AZ17" s="38" t="s">
        <v>422</v>
      </c>
      <c r="BA17" s="38" t="s">
        <v>423</v>
      </c>
      <c r="BB17" s="38" t="s">
        <v>1079</v>
      </c>
    </row>
    <row r="18" spans="1:54" ht="57.1" x14ac:dyDescent="0.25">
      <c r="A18" t="s">
        <v>639</v>
      </c>
      <c r="B18" s="6" t="s">
        <v>640</v>
      </c>
      <c r="C18" t="s">
        <v>641</v>
      </c>
      <c r="D18">
        <v>2016</v>
      </c>
      <c r="E18" t="s">
        <v>642</v>
      </c>
      <c r="F18" s="6" t="s">
        <v>643</v>
      </c>
      <c r="G18" s="6" t="s">
        <v>45</v>
      </c>
      <c r="H18" s="6" t="s">
        <v>644</v>
      </c>
      <c r="I18" t="s">
        <v>14</v>
      </c>
      <c r="J18" s="6" t="s">
        <v>971</v>
      </c>
      <c r="K18" s="6" t="s">
        <v>971</v>
      </c>
      <c r="L18" s="9" t="s">
        <v>118</v>
      </c>
      <c r="M18" t="s">
        <v>946</v>
      </c>
      <c r="N18" s="6" t="s">
        <v>633</v>
      </c>
      <c r="O18" s="6" t="s">
        <v>634</v>
      </c>
      <c r="P18">
        <v>2008</v>
      </c>
      <c r="Q18" s="6">
        <v>3</v>
      </c>
      <c r="R18" t="s">
        <v>607</v>
      </c>
      <c r="S18" t="s">
        <v>246</v>
      </c>
      <c r="T18" t="s">
        <v>152</v>
      </c>
      <c r="U18" t="s">
        <v>981</v>
      </c>
      <c r="V18" t="s">
        <v>430</v>
      </c>
      <c r="W18" t="s">
        <v>12</v>
      </c>
      <c r="X18" t="s">
        <v>13</v>
      </c>
      <c r="Y18">
        <v>30</v>
      </c>
      <c r="Z18" s="6" t="s">
        <v>11</v>
      </c>
      <c r="AA18" t="s">
        <v>11</v>
      </c>
      <c r="AB18" t="s">
        <v>11</v>
      </c>
      <c r="AC18" s="6" t="s">
        <v>11</v>
      </c>
      <c r="AD18" t="s">
        <v>80</v>
      </c>
      <c r="AE18" t="s">
        <v>81</v>
      </c>
      <c r="AF18" t="s">
        <v>11</v>
      </c>
      <c r="AG18" s="9" t="s">
        <v>11</v>
      </c>
      <c r="AH18"/>
      <c r="AI18" s="10" t="s">
        <v>18</v>
      </c>
      <c r="AJ18" s="11" t="s">
        <v>645</v>
      </c>
      <c r="AK18" s="11" t="s">
        <v>197</v>
      </c>
      <c r="AL18" t="s">
        <v>11</v>
      </c>
      <c r="AM18" s="9" t="s">
        <v>11</v>
      </c>
      <c r="AN18" s="10" t="s">
        <v>18</v>
      </c>
      <c r="AO18" t="s">
        <v>11</v>
      </c>
      <c r="AP18" t="s">
        <v>11</v>
      </c>
      <c r="AQ18" t="s">
        <v>11</v>
      </c>
      <c r="AR18" t="s">
        <v>11</v>
      </c>
      <c r="AS18" t="s">
        <v>11</v>
      </c>
      <c r="AT18" t="s">
        <v>11</v>
      </c>
      <c r="AU18"/>
      <c r="AV18" t="s">
        <v>1123</v>
      </c>
      <c r="AW18" s="40">
        <v>45727</v>
      </c>
      <c r="AX18" t="s">
        <v>35</v>
      </c>
      <c r="AY18" t="s">
        <v>1049</v>
      </c>
      <c r="AZ18" s="12" t="s">
        <v>646</v>
      </c>
      <c r="BA18" s="12" t="s">
        <v>647</v>
      </c>
      <c r="BB18" s="12">
        <v>0</v>
      </c>
    </row>
    <row r="19" spans="1:54" ht="99.85" x14ac:dyDescent="0.25">
      <c r="A19" t="s">
        <v>361</v>
      </c>
      <c r="B19" s="6" t="s">
        <v>362</v>
      </c>
      <c r="C19" t="s">
        <v>363</v>
      </c>
      <c r="D19">
        <v>2021</v>
      </c>
      <c r="E19" t="s">
        <v>3</v>
      </c>
      <c r="F19" s="6" t="s">
        <v>4</v>
      </c>
      <c r="G19" s="6" t="s">
        <v>4</v>
      </c>
      <c r="H19" s="6" t="s">
        <v>364</v>
      </c>
      <c r="I19" t="s">
        <v>258</v>
      </c>
      <c r="J19" t="s">
        <v>343</v>
      </c>
      <c r="K19" t="s">
        <v>987</v>
      </c>
      <c r="L19" s="9" t="s">
        <v>343</v>
      </c>
      <c r="M19" t="s">
        <v>945</v>
      </c>
      <c r="N19" s="6" t="s">
        <v>341</v>
      </c>
      <c r="O19" s="6" t="s">
        <v>7</v>
      </c>
      <c r="P19">
        <v>2016</v>
      </c>
      <c r="Q19">
        <v>1</v>
      </c>
      <c r="R19" t="s">
        <v>365</v>
      </c>
      <c r="S19" t="s">
        <v>9</v>
      </c>
      <c r="T19" t="s">
        <v>152</v>
      </c>
      <c r="U19" t="s">
        <v>979</v>
      </c>
      <c r="V19" t="s">
        <v>366</v>
      </c>
      <c r="W19" t="s">
        <v>12</v>
      </c>
      <c r="X19" t="s">
        <v>13</v>
      </c>
      <c r="Y19">
        <v>427</v>
      </c>
      <c r="Z19" s="6" t="s">
        <v>11</v>
      </c>
      <c r="AA19">
        <v>414254</v>
      </c>
      <c r="AB19">
        <v>8790293</v>
      </c>
      <c r="AC19" t="s">
        <v>11</v>
      </c>
      <c r="AD19" t="s">
        <v>80</v>
      </c>
      <c r="AE19" t="s">
        <v>81</v>
      </c>
      <c r="AF19" t="s">
        <v>11</v>
      </c>
      <c r="AG19" s="9" t="s">
        <v>11</v>
      </c>
      <c r="AH19"/>
      <c r="AI19" s="10" t="s">
        <v>18</v>
      </c>
      <c r="AJ19" s="11" t="s">
        <v>367</v>
      </c>
      <c r="AK19" s="11" t="s">
        <v>368</v>
      </c>
      <c r="AL19" t="s">
        <v>11</v>
      </c>
      <c r="AM19" s="9" t="s">
        <v>369</v>
      </c>
      <c r="AN19" s="10" t="s">
        <v>18</v>
      </c>
      <c r="AO19" t="s">
        <v>11</v>
      </c>
      <c r="AP19" t="s">
        <v>11</v>
      </c>
      <c r="AQ19" t="s">
        <v>11</v>
      </c>
      <c r="AR19" t="s">
        <v>11</v>
      </c>
      <c r="AS19" t="s">
        <v>11</v>
      </c>
      <c r="AT19" t="s">
        <v>11</v>
      </c>
      <c r="AU19"/>
      <c r="AV19" t="s">
        <v>1123</v>
      </c>
      <c r="AW19" s="40">
        <v>45725</v>
      </c>
      <c r="AX19" t="s">
        <v>35</v>
      </c>
      <c r="AY19" t="s">
        <v>1049</v>
      </c>
      <c r="AZ19" s="12" t="s">
        <v>370</v>
      </c>
      <c r="BA19" s="12" t="s">
        <v>371</v>
      </c>
      <c r="BB19" s="12" t="s">
        <v>1069</v>
      </c>
    </row>
    <row r="20" spans="1:54" ht="199.7" x14ac:dyDescent="0.25">
      <c r="A20" t="s">
        <v>309</v>
      </c>
      <c r="B20" s="6" t="s">
        <v>310</v>
      </c>
      <c r="C20" t="s">
        <v>311</v>
      </c>
      <c r="D20">
        <v>2014</v>
      </c>
      <c r="E20" t="s">
        <v>312</v>
      </c>
      <c r="F20" s="6" t="s">
        <v>150</v>
      </c>
      <c r="G20" s="6" t="s">
        <v>150</v>
      </c>
      <c r="H20" s="6" t="s">
        <v>313</v>
      </c>
      <c r="I20" t="s">
        <v>258</v>
      </c>
      <c r="J20" t="s">
        <v>1040</v>
      </c>
      <c r="K20" t="s">
        <v>943</v>
      </c>
      <c r="L20" s="9" t="s">
        <v>318</v>
      </c>
      <c r="M20" t="s">
        <v>945</v>
      </c>
      <c r="N20" s="6" t="s">
        <v>314</v>
      </c>
      <c r="O20" s="6" t="s">
        <v>7</v>
      </c>
      <c r="P20" t="s">
        <v>315</v>
      </c>
      <c r="Q20">
        <v>1</v>
      </c>
      <c r="R20" s="6" t="s">
        <v>216</v>
      </c>
      <c r="S20" t="s">
        <v>9</v>
      </c>
      <c r="T20" t="s">
        <v>152</v>
      </c>
      <c r="U20" t="s">
        <v>979</v>
      </c>
      <c r="V20" t="s">
        <v>430</v>
      </c>
      <c r="W20" t="s">
        <v>12</v>
      </c>
      <c r="X20" t="s">
        <v>13</v>
      </c>
      <c r="Y20" t="s">
        <v>316</v>
      </c>
      <c r="Z20" t="s">
        <v>317</v>
      </c>
      <c r="AA20" t="s">
        <v>1035</v>
      </c>
      <c r="AC20" t="s">
        <v>1051</v>
      </c>
      <c r="AD20" t="s">
        <v>80</v>
      </c>
      <c r="AE20" t="s">
        <v>81</v>
      </c>
      <c r="AF20" t="s">
        <v>11</v>
      </c>
      <c r="AG20" s="9" t="s">
        <v>11</v>
      </c>
      <c r="AH20"/>
      <c r="AI20" s="10" t="s">
        <v>18</v>
      </c>
      <c r="AJ20" s="11" t="s">
        <v>319</v>
      </c>
      <c r="AK20" s="11" t="s">
        <v>320</v>
      </c>
      <c r="AL20" t="s">
        <v>11</v>
      </c>
      <c r="AM20" s="9" t="s">
        <v>11</v>
      </c>
      <c r="AN20" s="10" t="s">
        <v>35</v>
      </c>
      <c r="AO20" t="s">
        <v>142</v>
      </c>
      <c r="AP20" t="s">
        <v>185</v>
      </c>
      <c r="AQ20" t="s">
        <v>35</v>
      </c>
      <c r="AR20" s="6" t="s">
        <v>321</v>
      </c>
      <c r="AS20" s="6" t="s">
        <v>982</v>
      </c>
      <c r="AT20" t="s">
        <v>18</v>
      </c>
      <c r="AU20"/>
      <c r="AV20" t="s">
        <v>1123</v>
      </c>
      <c r="AW20" s="40">
        <v>45721</v>
      </c>
      <c r="AX20" t="s">
        <v>35</v>
      </c>
      <c r="AY20" t="s">
        <v>1049</v>
      </c>
      <c r="AZ20" s="35" t="s">
        <v>322</v>
      </c>
      <c r="BA20" s="35" t="s">
        <v>323</v>
      </c>
      <c r="BB20" s="35" t="s">
        <v>324</v>
      </c>
    </row>
    <row r="21" spans="1:54" ht="199.7" x14ac:dyDescent="0.25">
      <c r="A21" t="s">
        <v>932</v>
      </c>
      <c r="H21" s="6"/>
      <c r="I21" t="s">
        <v>14</v>
      </c>
      <c r="J21" t="s">
        <v>259</v>
      </c>
      <c r="K21" t="s">
        <v>988</v>
      </c>
      <c r="L21" s="9" t="s">
        <v>259</v>
      </c>
      <c r="M21" t="s">
        <v>945</v>
      </c>
      <c r="N21" s="6" t="s">
        <v>257</v>
      </c>
      <c r="O21" s="6" t="s">
        <v>7</v>
      </c>
      <c r="P21">
        <v>2006</v>
      </c>
      <c r="Q21">
        <v>1</v>
      </c>
      <c r="R21" s="6" t="s">
        <v>216</v>
      </c>
      <c r="S21" t="s">
        <v>9</v>
      </c>
      <c r="T21" t="s">
        <v>152</v>
      </c>
      <c r="U21" t="s">
        <v>979</v>
      </c>
      <c r="V21" t="s">
        <v>430</v>
      </c>
      <c r="W21" t="s">
        <v>12</v>
      </c>
      <c r="X21" t="s">
        <v>13</v>
      </c>
      <c r="Y21">
        <v>146</v>
      </c>
      <c r="Z21" t="s">
        <v>11</v>
      </c>
      <c r="AA21">
        <v>531977</v>
      </c>
      <c r="AC21" t="s">
        <v>11</v>
      </c>
      <c r="AD21" t="s">
        <v>80</v>
      </c>
      <c r="AE21" t="s">
        <v>81</v>
      </c>
      <c r="AF21" t="s">
        <v>11</v>
      </c>
      <c r="AG21" s="9" t="s">
        <v>11</v>
      </c>
      <c r="AH21"/>
      <c r="AI21" s="10" t="s">
        <v>18</v>
      </c>
      <c r="AJ21" s="11" t="s">
        <v>319</v>
      </c>
      <c r="AK21" s="11" t="s">
        <v>320</v>
      </c>
      <c r="AL21" t="s">
        <v>11</v>
      </c>
      <c r="AM21" s="9" t="s">
        <v>11</v>
      </c>
      <c r="AN21" s="10" t="s">
        <v>35</v>
      </c>
      <c r="AO21" t="s">
        <v>142</v>
      </c>
      <c r="AP21" t="s">
        <v>185</v>
      </c>
      <c r="AQ21" t="s">
        <v>35</v>
      </c>
      <c r="AR21" s="6" t="s">
        <v>321</v>
      </c>
      <c r="AS21" s="6" t="s">
        <v>982</v>
      </c>
      <c r="AT21" t="s">
        <v>18</v>
      </c>
      <c r="AU21"/>
      <c r="AV21" t="s">
        <v>1123</v>
      </c>
      <c r="AW21"/>
      <c r="AX21" t="s">
        <v>35</v>
      </c>
      <c r="AY21"/>
      <c r="AZ21" s="35"/>
      <c r="BA21" s="35"/>
      <c r="BB21" s="35"/>
    </row>
    <row r="22" spans="1:54" ht="57.6" customHeight="1" x14ac:dyDescent="0.25">
      <c r="A22" t="s">
        <v>933</v>
      </c>
      <c r="H22" s="6"/>
      <c r="I22" t="s">
        <v>258</v>
      </c>
      <c r="J22" t="s">
        <v>544</v>
      </c>
      <c r="K22" t="s">
        <v>544</v>
      </c>
      <c r="L22" s="9" t="s">
        <v>544</v>
      </c>
      <c r="M22" t="s">
        <v>945</v>
      </c>
      <c r="N22" s="6" t="s">
        <v>934</v>
      </c>
      <c r="O22" s="6" t="s">
        <v>7</v>
      </c>
      <c r="P22">
        <v>2004</v>
      </c>
      <c r="Q22">
        <v>1</v>
      </c>
      <c r="R22" s="6" t="s">
        <v>216</v>
      </c>
      <c r="S22" t="s">
        <v>9</v>
      </c>
      <c r="T22" t="s">
        <v>152</v>
      </c>
      <c r="U22" t="s">
        <v>979</v>
      </c>
      <c r="V22" t="s">
        <v>430</v>
      </c>
      <c r="W22" t="s">
        <v>12</v>
      </c>
      <c r="X22" t="s">
        <v>13</v>
      </c>
      <c r="Y22">
        <v>98</v>
      </c>
      <c r="Z22" t="s">
        <v>11</v>
      </c>
      <c r="AA22">
        <v>139620</v>
      </c>
      <c r="AC22" t="s">
        <v>11</v>
      </c>
      <c r="AD22" t="s">
        <v>80</v>
      </c>
      <c r="AE22" t="s">
        <v>81</v>
      </c>
      <c r="AF22" t="s">
        <v>11</v>
      </c>
      <c r="AG22" s="9" t="s">
        <v>11</v>
      </c>
      <c r="AH22"/>
      <c r="AI22" s="10" t="s">
        <v>18</v>
      </c>
      <c r="AJ22" s="11" t="s">
        <v>319</v>
      </c>
      <c r="AK22" s="11" t="s">
        <v>320</v>
      </c>
      <c r="AL22" t="s">
        <v>11</v>
      </c>
      <c r="AM22" s="9" t="s">
        <v>11</v>
      </c>
      <c r="AN22" s="10" t="s">
        <v>35</v>
      </c>
      <c r="AO22" t="s">
        <v>142</v>
      </c>
      <c r="AP22" t="s">
        <v>185</v>
      </c>
      <c r="AQ22" t="s">
        <v>35</v>
      </c>
      <c r="AR22" s="6" t="s">
        <v>321</v>
      </c>
      <c r="AS22" s="6" t="s">
        <v>982</v>
      </c>
      <c r="AT22" t="s">
        <v>18</v>
      </c>
      <c r="AU22"/>
      <c r="AV22" t="s">
        <v>1123</v>
      </c>
      <c r="AW22"/>
      <c r="AX22" t="s">
        <v>35</v>
      </c>
      <c r="AY22"/>
      <c r="AZ22" s="35"/>
      <c r="BA22" s="35"/>
      <c r="BB22" s="35"/>
    </row>
    <row r="23" spans="1:54" ht="42.8" x14ac:dyDescent="0.25">
      <c r="A23" t="s">
        <v>588</v>
      </c>
      <c r="B23" s="6" t="s">
        <v>589</v>
      </c>
      <c r="C23" t="s">
        <v>590</v>
      </c>
      <c r="D23">
        <v>2018</v>
      </c>
      <c r="E23" t="s">
        <v>591</v>
      </c>
      <c r="F23" s="6" t="s">
        <v>130</v>
      </c>
      <c r="G23" s="6" t="s">
        <v>90</v>
      </c>
      <c r="H23" s="13" t="s">
        <v>592</v>
      </c>
      <c r="I23" t="s">
        <v>14</v>
      </c>
      <c r="J23" t="s">
        <v>983</v>
      </c>
      <c r="K23" t="s">
        <v>983</v>
      </c>
      <c r="L23" s="9" t="s">
        <v>118</v>
      </c>
      <c r="M23" t="s">
        <v>946</v>
      </c>
      <c r="N23" s="6" t="s">
        <v>593</v>
      </c>
      <c r="O23" s="6" t="s">
        <v>229</v>
      </c>
      <c r="P23">
        <v>2013</v>
      </c>
      <c r="Q23" t="s">
        <v>594</v>
      </c>
      <c r="R23" t="s">
        <v>595</v>
      </c>
      <c r="S23" t="s">
        <v>246</v>
      </c>
      <c r="T23" t="s">
        <v>10</v>
      </c>
      <c r="V23" t="s">
        <v>11</v>
      </c>
      <c r="W23" t="s">
        <v>12</v>
      </c>
      <c r="X23" t="s">
        <v>247</v>
      </c>
      <c r="Y23">
        <v>3</v>
      </c>
      <c r="Z23">
        <v>66</v>
      </c>
      <c r="AA23" t="s">
        <v>11</v>
      </c>
      <c r="AC23" t="s">
        <v>11</v>
      </c>
      <c r="AD23" t="s">
        <v>80</v>
      </c>
      <c r="AE23" t="s">
        <v>81</v>
      </c>
      <c r="AF23" t="s">
        <v>11</v>
      </c>
      <c r="AG23" s="9" t="s">
        <v>11</v>
      </c>
      <c r="AH23"/>
      <c r="AI23" s="10" t="s">
        <v>18</v>
      </c>
      <c r="AJ23" s="11" t="s">
        <v>596</v>
      </c>
      <c r="AK23" s="11" t="s">
        <v>597</v>
      </c>
      <c r="AL23"/>
      <c r="AM23"/>
      <c r="AN23" s="10" t="s">
        <v>18</v>
      </c>
      <c r="AO23" t="s">
        <v>11</v>
      </c>
      <c r="AP23" t="s">
        <v>11</v>
      </c>
      <c r="AQ23" t="s">
        <v>11</v>
      </c>
      <c r="AR23" t="s">
        <v>11</v>
      </c>
      <c r="AS23" t="s">
        <v>11</v>
      </c>
      <c r="AT23" t="s">
        <v>11</v>
      </c>
      <c r="AU23"/>
      <c r="AV23" t="s">
        <v>1123</v>
      </c>
      <c r="AW23" s="40">
        <v>45727</v>
      </c>
      <c r="AX23" t="s">
        <v>35</v>
      </c>
      <c r="AY23" t="s">
        <v>1049</v>
      </c>
      <c r="AZ23" s="12" t="s">
        <v>598</v>
      </c>
      <c r="BA23" s="12" t="s">
        <v>599</v>
      </c>
      <c r="BB23" s="12" t="s">
        <v>600</v>
      </c>
    </row>
    <row r="24" spans="1:54" ht="202.25" customHeight="1" x14ac:dyDescent="0.3">
      <c r="A24" t="s">
        <v>325</v>
      </c>
      <c r="B24" s="6" t="s">
        <v>326</v>
      </c>
      <c r="C24" t="s">
        <v>327</v>
      </c>
      <c r="D24">
        <v>2018</v>
      </c>
      <c r="E24" t="s">
        <v>328</v>
      </c>
      <c r="F24" s="6" t="s">
        <v>226</v>
      </c>
      <c r="G24" s="6" t="s">
        <v>90</v>
      </c>
      <c r="H24" s="13" t="s">
        <v>329</v>
      </c>
      <c r="I24" t="s">
        <v>14</v>
      </c>
      <c r="J24" t="s">
        <v>259</v>
      </c>
      <c r="K24" t="s">
        <v>989</v>
      </c>
      <c r="L24" s="9" t="s">
        <v>259</v>
      </c>
      <c r="M24" t="s">
        <v>945</v>
      </c>
      <c r="N24" s="6" t="s">
        <v>257</v>
      </c>
      <c r="O24" s="6" t="s">
        <v>7</v>
      </c>
      <c r="P24">
        <v>2013</v>
      </c>
      <c r="Q24" s="6">
        <v>2</v>
      </c>
      <c r="R24" s="24" t="s">
        <v>330</v>
      </c>
      <c r="S24" t="s">
        <v>9</v>
      </c>
      <c r="T24" t="s">
        <v>152</v>
      </c>
      <c r="U24" t="s">
        <v>979</v>
      </c>
      <c r="V24" t="s">
        <v>116</v>
      </c>
      <c r="W24" t="s">
        <v>12</v>
      </c>
      <c r="X24" s="6" t="s">
        <v>13</v>
      </c>
      <c r="Y24" s="6">
        <v>155</v>
      </c>
      <c r="Z24" t="s">
        <v>11</v>
      </c>
      <c r="AA24" t="s">
        <v>11</v>
      </c>
      <c r="AB24">
        <v>130161023</v>
      </c>
      <c r="AC24" s="6" t="s">
        <v>331</v>
      </c>
      <c r="AD24" t="s">
        <v>80</v>
      </c>
      <c r="AE24" t="s">
        <v>81</v>
      </c>
      <c r="AF24" t="s">
        <v>11</v>
      </c>
      <c r="AG24" s="9" t="s">
        <v>11</v>
      </c>
      <c r="AH24"/>
      <c r="AI24" s="10" t="s">
        <v>18</v>
      </c>
      <c r="AJ24" s="11" t="s">
        <v>332</v>
      </c>
      <c r="AK24" s="11" t="s">
        <v>333</v>
      </c>
      <c r="AL24" t="s">
        <v>11</v>
      </c>
      <c r="AM24" t="s">
        <v>11</v>
      </c>
      <c r="AN24" s="10" t="s">
        <v>18</v>
      </c>
      <c r="AO24" t="s">
        <v>11</v>
      </c>
      <c r="AP24" t="s">
        <v>11</v>
      </c>
      <c r="AQ24" t="s">
        <v>11</v>
      </c>
      <c r="AR24" t="s">
        <v>11</v>
      </c>
      <c r="AS24" t="s">
        <v>11</v>
      </c>
      <c r="AT24" t="s">
        <v>11</v>
      </c>
      <c r="AU24"/>
      <c r="AV24" t="s">
        <v>1123</v>
      </c>
      <c r="AW24" s="40">
        <v>45721</v>
      </c>
      <c r="AX24" t="s">
        <v>35</v>
      </c>
      <c r="AY24" t="s">
        <v>1049</v>
      </c>
      <c r="AZ24" s="12" t="s">
        <v>334</v>
      </c>
      <c r="BA24" s="12" t="s">
        <v>335</v>
      </c>
      <c r="BB24" s="12" t="s">
        <v>336</v>
      </c>
    </row>
    <row r="25" spans="1:54" ht="57.1" x14ac:dyDescent="0.25">
      <c r="A25" t="s">
        <v>601</v>
      </c>
      <c r="B25" s="6" t="s">
        <v>602</v>
      </c>
      <c r="C25" t="s">
        <v>603</v>
      </c>
      <c r="D25">
        <v>2018</v>
      </c>
      <c r="E25" t="s">
        <v>604</v>
      </c>
      <c r="F25" s="6" t="s">
        <v>605</v>
      </c>
      <c r="G25" s="6" t="s">
        <v>45</v>
      </c>
      <c r="H25" s="13" t="s">
        <v>606</v>
      </c>
      <c r="I25" t="s">
        <v>14</v>
      </c>
      <c r="J25" t="s">
        <v>974</v>
      </c>
      <c r="K25" t="s">
        <v>974</v>
      </c>
      <c r="L25" s="9" t="s">
        <v>609</v>
      </c>
      <c r="M25" t="s">
        <v>946</v>
      </c>
      <c r="N25" s="6"/>
      <c r="O25" s="6" t="s">
        <v>7</v>
      </c>
      <c r="P25">
        <v>2010</v>
      </c>
      <c r="Q25">
        <v>6</v>
      </c>
      <c r="R25" t="s">
        <v>607</v>
      </c>
      <c r="S25" t="s">
        <v>246</v>
      </c>
      <c r="T25" t="s">
        <v>10</v>
      </c>
      <c r="V25" t="s">
        <v>11</v>
      </c>
      <c r="W25" t="s">
        <v>12</v>
      </c>
      <c r="X25" s="6" t="s">
        <v>13</v>
      </c>
      <c r="Y25" s="6">
        <v>50</v>
      </c>
      <c r="Z25" t="s">
        <v>11</v>
      </c>
      <c r="AA25" t="s">
        <v>11</v>
      </c>
      <c r="AC25" t="s">
        <v>608</v>
      </c>
      <c r="AD25" t="s">
        <v>16</v>
      </c>
      <c r="AE25" t="s">
        <v>11</v>
      </c>
      <c r="AF25" t="s">
        <v>11</v>
      </c>
      <c r="AG25" s="9" t="s">
        <v>17</v>
      </c>
      <c r="AH25"/>
      <c r="AI25" s="10"/>
      <c r="AJ25" s="11" t="s">
        <v>610</v>
      </c>
      <c r="AK25" s="11" t="s">
        <v>11</v>
      </c>
      <c r="AL25" s="30" t="s">
        <v>611</v>
      </c>
      <c r="AM25" t="s">
        <v>11</v>
      </c>
      <c r="AN25" s="10" t="s">
        <v>18</v>
      </c>
      <c r="AO25" t="s">
        <v>11</v>
      </c>
      <c r="AP25" t="s">
        <v>11</v>
      </c>
      <c r="AQ25" t="s">
        <v>11</v>
      </c>
      <c r="AR25" t="s">
        <v>11</v>
      </c>
      <c r="AS25" t="s">
        <v>11</v>
      </c>
      <c r="AT25" t="s">
        <v>11</v>
      </c>
      <c r="AU25"/>
      <c r="AV25" t="s">
        <v>1123</v>
      </c>
      <c r="AW25" s="40">
        <v>45727</v>
      </c>
      <c r="AX25" t="s">
        <v>35</v>
      </c>
      <c r="AY25" t="s">
        <v>1049</v>
      </c>
      <c r="AZ25" s="12" t="s">
        <v>612</v>
      </c>
      <c r="BA25" s="12" t="s">
        <v>613</v>
      </c>
      <c r="BB25" s="12" t="s">
        <v>614</v>
      </c>
    </row>
    <row r="26" spans="1:54" ht="185.45" x14ac:dyDescent="0.25">
      <c r="A26" t="s">
        <v>0</v>
      </c>
      <c r="B26" s="6" t="s">
        <v>1</v>
      </c>
      <c r="C26" t="s">
        <v>2</v>
      </c>
      <c r="D26">
        <v>2018</v>
      </c>
      <c r="E26" t="s">
        <v>3</v>
      </c>
      <c r="F26" s="6" t="s">
        <v>4</v>
      </c>
      <c r="G26" s="6" t="s">
        <v>4</v>
      </c>
      <c r="H26" s="13" t="s">
        <v>5</v>
      </c>
      <c r="I26" t="s">
        <v>14</v>
      </c>
      <c r="J26" s="6" t="s">
        <v>975</v>
      </c>
      <c r="K26" s="6" t="s">
        <v>975</v>
      </c>
      <c r="L26" s="9" t="s">
        <v>15</v>
      </c>
      <c r="M26" t="s">
        <v>945</v>
      </c>
      <c r="N26" s="6" t="s">
        <v>6</v>
      </c>
      <c r="O26" s="6" t="s">
        <v>7</v>
      </c>
      <c r="P26">
        <v>2003</v>
      </c>
      <c r="Q26" s="6">
        <v>5</v>
      </c>
      <c r="R26" s="6" t="s">
        <v>8</v>
      </c>
      <c r="S26" s="6" t="s">
        <v>9</v>
      </c>
      <c r="T26" t="s">
        <v>10</v>
      </c>
      <c r="V26" t="s">
        <v>11</v>
      </c>
      <c r="W26" t="s">
        <v>12</v>
      </c>
      <c r="X26" s="6" t="s">
        <v>13</v>
      </c>
      <c r="Y26" s="6">
        <v>35</v>
      </c>
      <c r="Z26" s="6" t="s">
        <v>11</v>
      </c>
      <c r="AA26" t="s">
        <v>11</v>
      </c>
      <c r="AB26" s="6" t="s">
        <v>11</v>
      </c>
      <c r="AC26" s="6" t="s">
        <v>11</v>
      </c>
      <c r="AD26" t="s">
        <v>16</v>
      </c>
      <c r="AE26" s="6" t="s">
        <v>11</v>
      </c>
      <c r="AF26" s="6" t="s">
        <v>11</v>
      </c>
      <c r="AG26" s="9" t="s">
        <v>17</v>
      </c>
      <c r="AH26"/>
      <c r="AI26" s="10" t="s">
        <v>18</v>
      </c>
      <c r="AJ26" s="11" t="s">
        <v>19</v>
      </c>
      <c r="AK26" s="11" t="s">
        <v>20</v>
      </c>
      <c r="AL26" s="6" t="s">
        <v>21</v>
      </c>
      <c r="AM26" t="s">
        <v>11</v>
      </c>
      <c r="AN26" s="10" t="s">
        <v>18</v>
      </c>
      <c r="AO26" t="s">
        <v>11</v>
      </c>
      <c r="AP26" t="s">
        <v>11</v>
      </c>
      <c r="AQ26" t="s">
        <v>11</v>
      </c>
      <c r="AR26" t="s">
        <v>11</v>
      </c>
      <c r="AS26" t="s">
        <v>11</v>
      </c>
      <c r="AT26" t="s">
        <v>11</v>
      </c>
      <c r="AU26"/>
      <c r="AV26" t="s">
        <v>1123</v>
      </c>
      <c r="AW26" s="40">
        <v>45715</v>
      </c>
      <c r="AX26" t="s">
        <v>35</v>
      </c>
      <c r="AY26" t="s">
        <v>1049</v>
      </c>
      <c r="AZ26" s="12" t="s">
        <v>22</v>
      </c>
      <c r="BA26" s="12" t="s">
        <v>23</v>
      </c>
      <c r="BB26" s="12" t="s">
        <v>24</v>
      </c>
    </row>
    <row r="27" spans="1:54" ht="129.1" x14ac:dyDescent="0.25">
      <c r="A27" t="s">
        <v>538</v>
      </c>
      <c r="B27" s="6" t="s">
        <v>539</v>
      </c>
      <c r="C27" t="s">
        <v>540</v>
      </c>
      <c r="D27">
        <v>2010</v>
      </c>
      <c r="E27" t="s">
        <v>129</v>
      </c>
      <c r="F27" s="6" t="s">
        <v>130</v>
      </c>
      <c r="G27" s="6" t="s">
        <v>90</v>
      </c>
      <c r="H27" s="9" t="s">
        <v>541</v>
      </c>
      <c r="I27" t="s">
        <v>258</v>
      </c>
      <c r="J27" t="s">
        <v>544</v>
      </c>
      <c r="K27" t="s">
        <v>544</v>
      </c>
      <c r="L27" s="9" t="s">
        <v>544</v>
      </c>
      <c r="M27" t="s">
        <v>945</v>
      </c>
      <c r="N27" s="6" t="s">
        <v>542</v>
      </c>
      <c r="O27" s="6" t="s">
        <v>7</v>
      </c>
      <c r="P27">
        <v>2004</v>
      </c>
      <c r="Q27">
        <v>1</v>
      </c>
      <c r="R27" t="s">
        <v>543</v>
      </c>
      <c r="S27" s="6" t="s">
        <v>246</v>
      </c>
      <c r="T27" t="s">
        <v>152</v>
      </c>
      <c r="U27" t="s">
        <v>980</v>
      </c>
      <c r="V27" t="s">
        <v>955</v>
      </c>
      <c r="W27" t="s">
        <v>12</v>
      </c>
      <c r="X27" s="6" t="s">
        <v>13</v>
      </c>
      <c r="Y27" s="6">
        <v>98</v>
      </c>
      <c r="Z27" t="s">
        <v>11</v>
      </c>
      <c r="AA27">
        <f>129620+805128</f>
        <v>934748</v>
      </c>
      <c r="AB27" s="28">
        <v>2611452</v>
      </c>
      <c r="AC27">
        <v>1676704</v>
      </c>
      <c r="AD27" t="s">
        <v>80</v>
      </c>
      <c r="AE27" t="s">
        <v>81</v>
      </c>
      <c r="AF27" t="s">
        <v>11</v>
      </c>
      <c r="AG27" s="9" t="s">
        <v>11</v>
      </c>
      <c r="AH27"/>
      <c r="AI27" s="10" t="s">
        <v>18</v>
      </c>
      <c r="AJ27" s="11" t="s">
        <v>545</v>
      </c>
      <c r="AK27" s="11" t="s">
        <v>546</v>
      </c>
      <c r="AL27" t="s">
        <v>11</v>
      </c>
      <c r="AM27" s="9"/>
      <c r="AN27" s="10" t="s">
        <v>35</v>
      </c>
      <c r="AO27" t="s">
        <v>184</v>
      </c>
      <c r="AP27" t="s">
        <v>143</v>
      </c>
      <c r="AQ27" t="s">
        <v>18</v>
      </c>
      <c r="AR27" t="s">
        <v>11</v>
      </c>
      <c r="AS27" t="s">
        <v>11</v>
      </c>
      <c r="AT27" t="s">
        <v>18</v>
      </c>
      <c r="AU27"/>
      <c r="AV27" t="s">
        <v>1123</v>
      </c>
      <c r="AW27" s="40">
        <v>45727</v>
      </c>
      <c r="AX27" t="s">
        <v>35</v>
      </c>
      <c r="AY27" t="s">
        <v>1049</v>
      </c>
      <c r="AZ27" s="35" t="s">
        <v>547</v>
      </c>
      <c r="BA27" s="35" t="s">
        <v>548</v>
      </c>
      <c r="BB27" s="36"/>
    </row>
    <row r="28" spans="1:54" ht="142" x14ac:dyDescent="0.25">
      <c r="A28" t="s">
        <v>253</v>
      </c>
      <c r="B28" s="6" t="s">
        <v>254</v>
      </c>
      <c r="C28" t="s">
        <v>255</v>
      </c>
      <c r="D28">
        <v>2012</v>
      </c>
      <c r="E28" t="s">
        <v>160</v>
      </c>
      <c r="F28" s="6" t="s">
        <v>150</v>
      </c>
      <c r="G28" s="6" t="s">
        <v>150</v>
      </c>
      <c r="H28" s="13" t="s">
        <v>256</v>
      </c>
      <c r="I28" t="s">
        <v>14</v>
      </c>
      <c r="J28" s="9" t="s">
        <v>259</v>
      </c>
      <c r="K28" s="9" t="s">
        <v>988</v>
      </c>
      <c r="L28" s="9" t="s">
        <v>259</v>
      </c>
      <c r="M28" t="s">
        <v>945</v>
      </c>
      <c r="N28" s="6" t="s">
        <v>257</v>
      </c>
      <c r="O28" s="6" t="s">
        <v>7</v>
      </c>
      <c r="P28">
        <v>2006</v>
      </c>
      <c r="Q28">
        <v>1</v>
      </c>
      <c r="R28" s="6" t="s">
        <v>216</v>
      </c>
      <c r="S28" t="s">
        <v>9</v>
      </c>
      <c r="T28" t="s">
        <v>152</v>
      </c>
      <c r="U28" t="s">
        <v>979</v>
      </c>
      <c r="V28" t="s">
        <v>11</v>
      </c>
      <c r="W28" t="s">
        <v>12</v>
      </c>
      <c r="X28" s="6" t="s">
        <v>13</v>
      </c>
      <c r="Y28" s="6">
        <v>146</v>
      </c>
      <c r="Z28" t="s">
        <v>11</v>
      </c>
      <c r="AA28">
        <v>617580</v>
      </c>
      <c r="AB28">
        <v>12929171</v>
      </c>
      <c r="AC28">
        <v>7420219</v>
      </c>
      <c r="AD28" t="s">
        <v>80</v>
      </c>
      <c r="AE28" t="s">
        <v>81</v>
      </c>
      <c r="AF28" t="s">
        <v>11</v>
      </c>
      <c r="AG28" s="9" t="s">
        <v>11</v>
      </c>
      <c r="AH28" s="9"/>
      <c r="AI28" s="10" t="s">
        <v>18</v>
      </c>
      <c r="AJ28" s="6" t="s">
        <v>260</v>
      </c>
      <c r="AK28" s="6" t="s">
        <v>261</v>
      </c>
      <c r="AL28" t="s">
        <v>262</v>
      </c>
      <c r="AM28" s="9" t="s">
        <v>263</v>
      </c>
      <c r="AN28" s="10" t="s">
        <v>35</v>
      </c>
      <c r="AO28" t="s">
        <v>184</v>
      </c>
      <c r="AP28" t="s">
        <v>143</v>
      </c>
      <c r="AQ28" t="s">
        <v>18</v>
      </c>
      <c r="AR28" t="s">
        <v>11</v>
      </c>
      <c r="AS28" t="s">
        <v>11</v>
      </c>
      <c r="AT28" t="s">
        <v>35</v>
      </c>
      <c r="AU28"/>
      <c r="AV28" t="s">
        <v>1123</v>
      </c>
      <c r="AW28" s="40">
        <v>45756</v>
      </c>
      <c r="AX28" t="s">
        <v>35</v>
      </c>
      <c r="AY28" t="s">
        <v>1049</v>
      </c>
      <c r="AZ28" s="35" t="s">
        <v>264</v>
      </c>
      <c r="BA28" s="35" t="s">
        <v>265</v>
      </c>
      <c r="BB28" s="35" t="s">
        <v>266</v>
      </c>
    </row>
    <row r="29" spans="1:54" ht="115.85" customHeight="1" x14ac:dyDescent="0.25">
      <c r="A29" t="s">
        <v>267</v>
      </c>
      <c r="B29" s="6" t="s">
        <v>268</v>
      </c>
      <c r="C29" t="s">
        <v>269</v>
      </c>
      <c r="D29">
        <v>2014</v>
      </c>
      <c r="E29" t="s">
        <v>270</v>
      </c>
      <c r="F29" s="6" t="s">
        <v>271</v>
      </c>
      <c r="G29" s="6" t="s">
        <v>45</v>
      </c>
      <c r="H29" s="13" t="s">
        <v>272</v>
      </c>
      <c r="I29" t="s">
        <v>14</v>
      </c>
      <c r="J29" t="s">
        <v>259</v>
      </c>
      <c r="K29" t="s">
        <v>988</v>
      </c>
      <c r="L29" s="9" t="s">
        <v>259</v>
      </c>
      <c r="M29" t="s">
        <v>945</v>
      </c>
      <c r="N29" s="6" t="s">
        <v>257</v>
      </c>
      <c r="O29" s="6" t="s">
        <v>7</v>
      </c>
      <c r="P29">
        <v>2006</v>
      </c>
      <c r="Q29">
        <v>1</v>
      </c>
      <c r="R29" s="6" t="s">
        <v>216</v>
      </c>
      <c r="S29" t="s">
        <v>9</v>
      </c>
      <c r="T29" t="s">
        <v>152</v>
      </c>
      <c r="U29" t="s">
        <v>981</v>
      </c>
      <c r="V29" t="s">
        <v>11</v>
      </c>
      <c r="W29" t="s">
        <v>12</v>
      </c>
      <c r="X29" s="6" t="s">
        <v>13</v>
      </c>
      <c r="Y29" s="6">
        <v>146</v>
      </c>
      <c r="Z29" t="s">
        <v>11</v>
      </c>
      <c r="AA29">
        <v>617580</v>
      </c>
      <c r="AB29">
        <v>12929171</v>
      </c>
      <c r="AC29">
        <v>7420219</v>
      </c>
      <c r="AD29" t="s">
        <v>80</v>
      </c>
      <c r="AE29" t="s">
        <v>81</v>
      </c>
      <c r="AF29" t="s">
        <v>11</v>
      </c>
      <c r="AG29" s="9" t="s">
        <v>11</v>
      </c>
      <c r="AH29"/>
      <c r="AI29" s="10" t="s">
        <v>18</v>
      </c>
      <c r="AJ29" s="6" t="s">
        <v>273</v>
      </c>
      <c r="AK29" s="6" t="s">
        <v>274</v>
      </c>
      <c r="AL29" t="s">
        <v>11</v>
      </c>
      <c r="AM29" s="9" t="s">
        <v>275</v>
      </c>
      <c r="AN29" s="10" t="s">
        <v>35</v>
      </c>
      <c r="AO29" t="s">
        <v>184</v>
      </c>
      <c r="AP29" t="s">
        <v>185</v>
      </c>
      <c r="AQ29" t="s">
        <v>18</v>
      </c>
      <c r="AR29" t="s">
        <v>11</v>
      </c>
      <c r="AS29" t="s">
        <v>11</v>
      </c>
      <c r="AT29" t="s">
        <v>18</v>
      </c>
      <c r="AU29"/>
      <c r="AV29" t="s">
        <v>1123</v>
      </c>
      <c r="AW29" s="40">
        <v>45721</v>
      </c>
      <c r="AX29" t="s">
        <v>35</v>
      </c>
      <c r="AY29" t="s">
        <v>1049</v>
      </c>
      <c r="AZ29" s="35" t="s">
        <v>276</v>
      </c>
      <c r="BA29" s="36" t="s">
        <v>277</v>
      </c>
      <c r="BB29" s="35" t="s">
        <v>278</v>
      </c>
    </row>
    <row r="30" spans="1:54" ht="99.85" x14ac:dyDescent="0.25">
      <c r="A30" t="s">
        <v>279</v>
      </c>
      <c r="B30" s="6" t="s">
        <v>280</v>
      </c>
      <c r="C30" t="s">
        <v>281</v>
      </c>
      <c r="D30">
        <v>2017</v>
      </c>
      <c r="E30" t="s">
        <v>282</v>
      </c>
      <c r="F30" s="6" t="s">
        <v>283</v>
      </c>
      <c r="G30" s="6" t="s">
        <v>45</v>
      </c>
      <c r="H30" s="13" t="s">
        <v>284</v>
      </c>
      <c r="I30" t="s">
        <v>14</v>
      </c>
      <c r="J30" t="s">
        <v>259</v>
      </c>
      <c r="K30" t="s">
        <v>988</v>
      </c>
      <c r="L30" s="9" t="s">
        <v>259</v>
      </c>
      <c r="M30" t="s">
        <v>945</v>
      </c>
      <c r="N30" s="6" t="s">
        <v>257</v>
      </c>
      <c r="O30" s="6" t="s">
        <v>7</v>
      </c>
      <c r="P30">
        <v>2013</v>
      </c>
      <c r="Q30" s="6">
        <v>1</v>
      </c>
      <c r="R30" s="6" t="s">
        <v>216</v>
      </c>
      <c r="S30" t="s">
        <v>9</v>
      </c>
      <c r="T30" t="s">
        <v>152</v>
      </c>
      <c r="U30" t="s">
        <v>979</v>
      </c>
      <c r="V30" t="s">
        <v>116</v>
      </c>
      <c r="W30" t="s">
        <v>12</v>
      </c>
      <c r="X30" s="6" t="s">
        <v>13</v>
      </c>
      <c r="Y30" s="6">
        <v>146</v>
      </c>
      <c r="Z30" t="s">
        <v>11</v>
      </c>
      <c r="AA30">
        <v>617580</v>
      </c>
      <c r="AB30">
        <v>12929171</v>
      </c>
      <c r="AC30">
        <v>7420219</v>
      </c>
      <c r="AD30" t="s">
        <v>80</v>
      </c>
      <c r="AE30" t="s">
        <v>81</v>
      </c>
      <c r="AF30" t="s">
        <v>11</v>
      </c>
      <c r="AG30" s="9" t="s">
        <v>11</v>
      </c>
      <c r="AH30"/>
      <c r="AI30" s="10" t="s">
        <v>18</v>
      </c>
      <c r="AJ30" s="11" t="s">
        <v>285</v>
      </c>
      <c r="AK30" s="11" t="s">
        <v>286</v>
      </c>
      <c r="AL30" t="s">
        <v>11</v>
      </c>
      <c r="AM30" s="9" t="s">
        <v>11</v>
      </c>
      <c r="AN30" s="10" t="s">
        <v>18</v>
      </c>
      <c r="AO30" t="s">
        <v>11</v>
      </c>
      <c r="AP30" t="s">
        <v>11</v>
      </c>
      <c r="AQ30" t="s">
        <v>11</v>
      </c>
      <c r="AR30" t="s">
        <v>11</v>
      </c>
      <c r="AS30" t="s">
        <v>11</v>
      </c>
      <c r="AT30" t="s">
        <v>11</v>
      </c>
      <c r="AU30"/>
      <c r="AV30" t="s">
        <v>1123</v>
      </c>
      <c r="AW30" s="40">
        <v>45721</v>
      </c>
      <c r="AX30" t="s">
        <v>35</v>
      </c>
      <c r="AY30" t="s">
        <v>1049</v>
      </c>
      <c r="AZ30" s="22" t="s">
        <v>287</v>
      </c>
      <c r="BA30" s="22" t="s">
        <v>288</v>
      </c>
      <c r="BB30" s="12"/>
    </row>
    <row r="31" spans="1:54" ht="85.6" x14ac:dyDescent="0.25">
      <c r="A31" t="s">
        <v>807</v>
      </c>
      <c r="B31" s="6" t="s">
        <v>808</v>
      </c>
      <c r="C31" t="s">
        <v>809</v>
      </c>
      <c r="D31">
        <v>2017</v>
      </c>
      <c r="E31" t="s">
        <v>810</v>
      </c>
      <c r="F31" s="6" t="s">
        <v>811</v>
      </c>
      <c r="G31" s="6" t="s">
        <v>45</v>
      </c>
      <c r="H31" s="13" t="s">
        <v>812</v>
      </c>
      <c r="I31" t="s">
        <v>258</v>
      </c>
      <c r="J31" s="6" t="s">
        <v>294</v>
      </c>
      <c r="K31" s="6" t="s">
        <v>294</v>
      </c>
      <c r="L31" s="9" t="s">
        <v>294</v>
      </c>
      <c r="M31" t="s">
        <v>945</v>
      </c>
      <c r="N31" s="6" t="s">
        <v>257</v>
      </c>
      <c r="O31" s="6" t="s">
        <v>7</v>
      </c>
      <c r="P31" s="6">
        <v>2006</v>
      </c>
      <c r="Q31" s="6">
        <v>3</v>
      </c>
      <c r="R31" s="6" t="s">
        <v>216</v>
      </c>
      <c r="S31" s="6" t="s">
        <v>293</v>
      </c>
      <c r="T31" t="s">
        <v>152</v>
      </c>
      <c r="U31" t="s">
        <v>981</v>
      </c>
      <c r="V31" t="s">
        <v>955</v>
      </c>
      <c r="W31" t="s">
        <v>12</v>
      </c>
      <c r="X31" s="6" t="s">
        <v>13</v>
      </c>
      <c r="Y31" s="6">
        <v>52</v>
      </c>
      <c r="Z31" s="6" t="s">
        <v>11</v>
      </c>
      <c r="AA31" t="s">
        <v>11</v>
      </c>
      <c r="AB31" t="s">
        <v>11</v>
      </c>
      <c r="AC31" s="6" t="s">
        <v>11</v>
      </c>
      <c r="AD31" t="s">
        <v>80</v>
      </c>
      <c r="AE31" t="s">
        <v>81</v>
      </c>
      <c r="AF31" t="s">
        <v>11</v>
      </c>
      <c r="AG31" s="9" t="s">
        <v>11</v>
      </c>
      <c r="AH31"/>
      <c r="AI31" s="10" t="s">
        <v>18</v>
      </c>
      <c r="AJ31" s="11" t="s">
        <v>813</v>
      </c>
      <c r="AK31" s="11" t="s">
        <v>274</v>
      </c>
      <c r="AL31" t="s">
        <v>11</v>
      </c>
      <c r="AM31" s="9" t="s">
        <v>814</v>
      </c>
      <c r="AN31" s="10" t="s">
        <v>18</v>
      </c>
      <c r="AO31" t="s">
        <v>11</v>
      </c>
      <c r="AP31" t="s">
        <v>11</v>
      </c>
      <c r="AQ31" t="s">
        <v>11</v>
      </c>
      <c r="AR31" t="s">
        <v>11</v>
      </c>
      <c r="AS31" t="s">
        <v>11</v>
      </c>
      <c r="AT31" t="s">
        <v>11</v>
      </c>
      <c r="AU31"/>
      <c r="AV31" t="s">
        <v>1123</v>
      </c>
      <c r="AW31" s="40">
        <v>45715</v>
      </c>
      <c r="AX31" t="s">
        <v>35</v>
      </c>
      <c r="AY31" t="s">
        <v>1049</v>
      </c>
      <c r="AZ31" s="12" t="s">
        <v>815</v>
      </c>
      <c r="BA31" s="12" t="s">
        <v>816</v>
      </c>
      <c r="BB31" s="12" t="s">
        <v>817</v>
      </c>
    </row>
    <row r="32" spans="1:54" ht="103.25" x14ac:dyDescent="0.25">
      <c r="A32" t="s">
        <v>289</v>
      </c>
      <c r="B32" s="6" t="s">
        <v>290</v>
      </c>
      <c r="C32" t="s">
        <v>291</v>
      </c>
      <c r="D32">
        <v>2017</v>
      </c>
      <c r="E32" t="s">
        <v>129</v>
      </c>
      <c r="F32" s="6" t="s">
        <v>130</v>
      </c>
      <c r="G32" s="6" t="s">
        <v>90</v>
      </c>
      <c r="H32" s="13" t="s">
        <v>292</v>
      </c>
      <c r="I32" t="s">
        <v>14</v>
      </c>
      <c r="J32" t="s">
        <v>259</v>
      </c>
      <c r="K32" t="s">
        <v>988</v>
      </c>
      <c r="L32" s="9" t="s">
        <v>294</v>
      </c>
      <c r="M32" t="s">
        <v>945</v>
      </c>
      <c r="N32" s="6" t="s">
        <v>257</v>
      </c>
      <c r="O32" s="6" t="s">
        <v>7</v>
      </c>
      <c r="P32" s="6">
        <v>2013</v>
      </c>
      <c r="Q32" s="6">
        <v>2</v>
      </c>
      <c r="R32" s="6" t="s">
        <v>216</v>
      </c>
      <c r="S32" s="6" t="s">
        <v>293</v>
      </c>
      <c r="T32" t="s">
        <v>152</v>
      </c>
      <c r="U32" t="s">
        <v>981</v>
      </c>
      <c r="V32" t="s">
        <v>116</v>
      </c>
      <c r="W32" t="s">
        <v>12</v>
      </c>
      <c r="X32" s="6" t="s">
        <v>13</v>
      </c>
      <c r="Y32" s="6">
        <v>152</v>
      </c>
      <c r="Z32" s="6" t="s">
        <v>11</v>
      </c>
      <c r="AA32">
        <v>1092226</v>
      </c>
      <c r="AB32">
        <v>16643460</v>
      </c>
      <c r="AC32">
        <v>4091977</v>
      </c>
      <c r="AD32" t="s">
        <v>80</v>
      </c>
      <c r="AE32" t="s">
        <v>81</v>
      </c>
      <c r="AF32" t="s">
        <v>11</v>
      </c>
      <c r="AG32" s="9" t="s">
        <v>11</v>
      </c>
      <c r="AH32"/>
      <c r="AI32" s="10" t="s">
        <v>18</v>
      </c>
      <c r="AJ32" s="11" t="s">
        <v>295</v>
      </c>
      <c r="AK32" s="11" t="s">
        <v>296</v>
      </c>
      <c r="AL32" t="s">
        <v>11</v>
      </c>
      <c r="AM32" s="9" t="s">
        <v>11</v>
      </c>
      <c r="AN32" s="10" t="s">
        <v>35</v>
      </c>
      <c r="AO32" t="s">
        <v>142</v>
      </c>
      <c r="AP32" t="s">
        <v>185</v>
      </c>
      <c r="AQ32" t="s">
        <v>18</v>
      </c>
      <c r="AR32" t="s">
        <v>11</v>
      </c>
      <c r="AS32" t="s">
        <v>11</v>
      </c>
      <c r="AT32" t="s">
        <v>18</v>
      </c>
      <c r="AU32"/>
      <c r="AV32" t="s">
        <v>1123</v>
      </c>
      <c r="AW32" s="40">
        <v>45721</v>
      </c>
      <c r="AX32" t="s">
        <v>35</v>
      </c>
      <c r="AY32" t="s">
        <v>1057</v>
      </c>
      <c r="AZ32" s="35" t="s">
        <v>297</v>
      </c>
      <c r="BA32" s="35" t="s">
        <v>1038</v>
      </c>
      <c r="BB32" s="35" t="s">
        <v>298</v>
      </c>
    </row>
    <row r="33" spans="1:54" ht="85.6" x14ac:dyDescent="0.25">
      <c r="A33" t="s">
        <v>299</v>
      </c>
      <c r="B33" s="6" t="s">
        <v>300</v>
      </c>
      <c r="C33" t="s">
        <v>301</v>
      </c>
      <c r="D33">
        <v>2019</v>
      </c>
      <c r="E33" t="s">
        <v>160</v>
      </c>
      <c r="F33" s="6" t="s">
        <v>150</v>
      </c>
      <c r="G33" s="6" t="s">
        <v>150</v>
      </c>
      <c r="H33" s="13" t="s">
        <v>302</v>
      </c>
      <c r="I33" t="s">
        <v>14</v>
      </c>
      <c r="J33" t="s">
        <v>259</v>
      </c>
      <c r="K33" t="s">
        <v>988</v>
      </c>
      <c r="L33" s="9" t="s">
        <v>294</v>
      </c>
      <c r="M33" t="s">
        <v>945</v>
      </c>
      <c r="N33" s="6" t="s">
        <v>257</v>
      </c>
      <c r="O33" s="6" t="s">
        <v>7</v>
      </c>
      <c r="P33" s="6">
        <v>2014</v>
      </c>
      <c r="Q33" s="6">
        <v>1</v>
      </c>
      <c r="R33" s="6" t="s">
        <v>216</v>
      </c>
      <c r="S33" s="6" t="s">
        <v>293</v>
      </c>
      <c r="T33" t="s">
        <v>152</v>
      </c>
      <c r="U33" t="s">
        <v>979</v>
      </c>
      <c r="V33" t="s">
        <v>116</v>
      </c>
      <c r="W33" t="s">
        <v>12</v>
      </c>
      <c r="X33" s="6" t="s">
        <v>13</v>
      </c>
      <c r="Y33" s="6">
        <v>155</v>
      </c>
      <c r="Z33" s="6" t="s">
        <v>11</v>
      </c>
      <c r="AA33">
        <v>1208999</v>
      </c>
      <c r="AB33" t="s">
        <v>303</v>
      </c>
      <c r="AC33" t="s">
        <v>304</v>
      </c>
      <c r="AD33" t="s">
        <v>80</v>
      </c>
      <c r="AE33" t="s">
        <v>81</v>
      </c>
      <c r="AF33" t="s">
        <v>11</v>
      </c>
      <c r="AG33" s="9" t="s">
        <v>11</v>
      </c>
      <c r="AH33"/>
      <c r="AI33" s="10" t="s">
        <v>18</v>
      </c>
      <c r="AJ33" s="11" t="s">
        <v>11</v>
      </c>
      <c r="AK33" s="11" t="s">
        <v>11</v>
      </c>
      <c r="AL33" t="s">
        <v>11</v>
      </c>
      <c r="AM33" s="9" t="s">
        <v>305</v>
      </c>
      <c r="AN33" s="10" t="s">
        <v>18</v>
      </c>
      <c r="AO33" t="s">
        <v>11</v>
      </c>
      <c r="AP33" t="s">
        <v>11</v>
      </c>
      <c r="AQ33" t="s">
        <v>11</v>
      </c>
      <c r="AR33" t="s">
        <v>11</v>
      </c>
      <c r="AS33" t="s">
        <v>11</v>
      </c>
      <c r="AT33" t="s">
        <v>11</v>
      </c>
      <c r="AU33"/>
      <c r="AV33" t="s">
        <v>1123</v>
      </c>
      <c r="AW33" s="40">
        <v>45721</v>
      </c>
      <c r="AX33" t="s">
        <v>35</v>
      </c>
      <c r="AY33" t="s">
        <v>1049</v>
      </c>
      <c r="AZ33" s="12" t="s">
        <v>306</v>
      </c>
      <c r="BA33" s="12" t="s">
        <v>307</v>
      </c>
      <c r="BB33" s="12" t="s">
        <v>308</v>
      </c>
    </row>
    <row r="34" spans="1:54" ht="99.85" x14ac:dyDescent="0.25">
      <c r="A34" t="s">
        <v>1000</v>
      </c>
      <c r="B34" s="6" t="s">
        <v>1001</v>
      </c>
      <c r="C34" t="s">
        <v>1002</v>
      </c>
      <c r="D34">
        <v>2025</v>
      </c>
      <c r="E34" t="s">
        <v>1003</v>
      </c>
      <c r="G34" s="6" t="s">
        <v>45</v>
      </c>
      <c r="H34" s="13" t="s">
        <v>1004</v>
      </c>
      <c r="I34" t="s">
        <v>232</v>
      </c>
      <c r="J34" s="6" t="s">
        <v>1005</v>
      </c>
      <c r="K34" s="6" t="s">
        <v>1005</v>
      </c>
      <c r="L34" s="13" t="s">
        <v>138</v>
      </c>
      <c r="M34" s="7" t="s">
        <v>945</v>
      </c>
      <c r="N34" s="7" t="s">
        <v>1006</v>
      </c>
      <c r="O34" s="6" t="s">
        <v>229</v>
      </c>
      <c r="P34">
        <v>2019</v>
      </c>
      <c r="Q34">
        <v>5</v>
      </c>
      <c r="S34" s="6" t="s">
        <v>9</v>
      </c>
      <c r="T34" t="s">
        <v>10</v>
      </c>
      <c r="V34" t="s">
        <v>11</v>
      </c>
      <c r="W34" t="s">
        <v>12</v>
      </c>
      <c r="X34" t="s">
        <v>231</v>
      </c>
      <c r="Y34" s="15">
        <v>1</v>
      </c>
      <c r="Z34">
        <v>175</v>
      </c>
      <c r="AA34">
        <v>992020</v>
      </c>
      <c r="AB34" t="s">
        <v>11</v>
      </c>
      <c r="AC34" t="s">
        <v>11</v>
      </c>
      <c r="AD34" t="s">
        <v>16</v>
      </c>
      <c r="AG34" s="9" t="s">
        <v>33</v>
      </c>
      <c r="AH34"/>
      <c r="AI34" s="10"/>
      <c r="AJ34" s="11"/>
      <c r="AK34" s="11" t="s">
        <v>1007</v>
      </c>
      <c r="AL34" t="s">
        <v>11</v>
      </c>
      <c r="AM34" s="9" t="s">
        <v>11</v>
      </c>
      <c r="AN34" s="10" t="s">
        <v>35</v>
      </c>
      <c r="AO34" t="s">
        <v>142</v>
      </c>
      <c r="AP34" t="s">
        <v>185</v>
      </c>
      <c r="AQ34" s="6" t="s">
        <v>18</v>
      </c>
      <c r="AR34" s="6" t="s">
        <v>11</v>
      </c>
      <c r="AS34" t="s">
        <v>11</v>
      </c>
      <c r="AT34" s="23" t="s">
        <v>18</v>
      </c>
      <c r="AU34" s="23" t="s">
        <v>11</v>
      </c>
      <c r="AV34" t="s">
        <v>1123</v>
      </c>
      <c r="AW34" s="40">
        <v>45944</v>
      </c>
      <c r="AX34" t="s">
        <v>35</v>
      </c>
      <c r="AY34" t="s">
        <v>1050</v>
      </c>
      <c r="AZ34" s="36"/>
      <c r="BA34" s="36"/>
      <c r="BB34" s="36"/>
    </row>
    <row r="35" spans="1:54" ht="85.6" x14ac:dyDescent="0.25">
      <c r="A35" t="s">
        <v>96</v>
      </c>
      <c r="B35" s="6" t="s">
        <v>97</v>
      </c>
      <c r="C35" t="s">
        <v>98</v>
      </c>
      <c r="D35">
        <v>2015</v>
      </c>
      <c r="E35" t="s">
        <v>99</v>
      </c>
      <c r="F35" s="6" t="s">
        <v>29</v>
      </c>
      <c r="G35" s="6" t="s">
        <v>30</v>
      </c>
      <c r="H35" s="13" t="s">
        <v>100</v>
      </c>
      <c r="I35" t="s">
        <v>14</v>
      </c>
      <c r="J35" s="6" t="s">
        <v>975</v>
      </c>
      <c r="K35" s="6" t="s">
        <v>975</v>
      </c>
      <c r="L35" s="9" t="s">
        <v>15</v>
      </c>
      <c r="M35" t="s">
        <v>945</v>
      </c>
      <c r="N35" s="6" t="s">
        <v>6</v>
      </c>
      <c r="O35" s="6" t="s">
        <v>7</v>
      </c>
      <c r="P35">
        <v>2009</v>
      </c>
      <c r="Q35" s="6">
        <v>1</v>
      </c>
      <c r="R35" s="20" t="s">
        <v>79</v>
      </c>
      <c r="S35" t="s">
        <v>9</v>
      </c>
      <c r="T35" t="s">
        <v>10</v>
      </c>
      <c r="V35" t="s">
        <v>11</v>
      </c>
      <c r="W35" t="s">
        <v>12</v>
      </c>
      <c r="X35" s="6" t="s">
        <v>13</v>
      </c>
      <c r="Y35" s="6">
        <v>35</v>
      </c>
      <c r="Z35" s="6" t="s">
        <v>11</v>
      </c>
      <c r="AA35">
        <v>1441</v>
      </c>
      <c r="AB35" t="s">
        <v>11</v>
      </c>
      <c r="AC35" t="s">
        <v>11</v>
      </c>
      <c r="AD35" t="s">
        <v>80</v>
      </c>
      <c r="AE35" t="s">
        <v>81</v>
      </c>
      <c r="AF35" t="s">
        <v>11</v>
      </c>
      <c r="AG35" s="9" t="s">
        <v>11</v>
      </c>
      <c r="AH35" t="s">
        <v>101</v>
      </c>
      <c r="AI35" s="10" t="s">
        <v>18</v>
      </c>
      <c r="AJ35" s="11" t="s">
        <v>102</v>
      </c>
      <c r="AK35" s="11" t="s">
        <v>103</v>
      </c>
      <c r="AL35" t="s">
        <v>104</v>
      </c>
      <c r="AM35" s="9" t="s">
        <v>11</v>
      </c>
      <c r="AN35" s="10" t="s">
        <v>18</v>
      </c>
      <c r="AO35" t="s">
        <v>11</v>
      </c>
      <c r="AP35" t="s">
        <v>11</v>
      </c>
      <c r="AQ35" t="s">
        <v>11</v>
      </c>
      <c r="AR35" t="s">
        <v>11</v>
      </c>
      <c r="AS35" t="s">
        <v>11</v>
      </c>
      <c r="AT35" t="s">
        <v>11</v>
      </c>
      <c r="AU35"/>
      <c r="AV35" t="s">
        <v>1123</v>
      </c>
      <c r="AW35" s="40">
        <v>45715</v>
      </c>
      <c r="AX35" t="s">
        <v>35</v>
      </c>
      <c r="AY35" t="s">
        <v>1049</v>
      </c>
      <c r="AZ35" s="12" t="s">
        <v>105</v>
      </c>
      <c r="BA35" s="12" t="s">
        <v>106</v>
      </c>
      <c r="BB35" s="12" t="s">
        <v>107</v>
      </c>
    </row>
    <row r="36" spans="1:54" ht="114.15" x14ac:dyDescent="0.25">
      <c r="A36" t="s">
        <v>845</v>
      </c>
      <c r="B36" s="33" t="s">
        <v>846</v>
      </c>
      <c r="C36" s="33" t="s">
        <v>847</v>
      </c>
      <c r="D36">
        <v>2017</v>
      </c>
      <c r="E36" s="33" t="s">
        <v>149</v>
      </c>
      <c r="F36" s="6" t="s">
        <v>150</v>
      </c>
      <c r="G36" s="6" t="s">
        <v>150</v>
      </c>
      <c r="H36" s="13" t="s">
        <v>848</v>
      </c>
      <c r="I36" t="s">
        <v>258</v>
      </c>
      <c r="J36" t="s">
        <v>852</v>
      </c>
      <c r="K36" t="s">
        <v>852</v>
      </c>
      <c r="L36" s="9" t="s">
        <v>118</v>
      </c>
      <c r="M36" t="s">
        <v>946</v>
      </c>
      <c r="N36" s="6" t="s">
        <v>114</v>
      </c>
      <c r="O36" s="6" t="s">
        <v>7</v>
      </c>
      <c r="P36">
        <v>2006</v>
      </c>
      <c r="Q36" s="6">
        <v>2</v>
      </c>
      <c r="R36" t="s">
        <v>849</v>
      </c>
      <c r="S36" s="6" t="s">
        <v>246</v>
      </c>
      <c r="T36" t="s">
        <v>10</v>
      </c>
      <c r="V36" t="s">
        <v>11</v>
      </c>
      <c r="W36" t="s">
        <v>117</v>
      </c>
      <c r="X36" s="6" t="s">
        <v>13</v>
      </c>
      <c r="Y36" s="6">
        <v>5667</v>
      </c>
      <c r="Z36" s="6" t="s">
        <v>11</v>
      </c>
      <c r="AA36">
        <v>936101</v>
      </c>
      <c r="AB36" t="s">
        <v>850</v>
      </c>
      <c r="AC36" t="s">
        <v>851</v>
      </c>
      <c r="AD36" t="s">
        <v>80</v>
      </c>
      <c r="AE36" t="s">
        <v>195</v>
      </c>
      <c r="AF36" t="s">
        <v>486</v>
      </c>
      <c r="AG36" s="9" t="s">
        <v>11</v>
      </c>
      <c r="AH36"/>
      <c r="AI36" s="10" t="s">
        <v>18</v>
      </c>
      <c r="AJ36" s="11" t="s">
        <v>853</v>
      </c>
      <c r="AK36" s="11" t="s">
        <v>854</v>
      </c>
      <c r="AL36" t="s">
        <v>855</v>
      </c>
      <c r="AM36" t="s">
        <v>856</v>
      </c>
      <c r="AN36" s="10" t="s">
        <v>18</v>
      </c>
      <c r="AO36" t="s">
        <v>11</v>
      </c>
      <c r="AP36" t="s">
        <v>11</v>
      </c>
      <c r="AQ36" t="s">
        <v>11</v>
      </c>
      <c r="AR36" t="s">
        <v>11</v>
      </c>
      <c r="AS36" t="s">
        <v>11</v>
      </c>
      <c r="AT36" t="s">
        <v>11</v>
      </c>
      <c r="AU36"/>
      <c r="AV36" t="s">
        <v>1123</v>
      </c>
      <c r="AW36" s="40">
        <v>45727</v>
      </c>
      <c r="AX36" t="s">
        <v>35</v>
      </c>
      <c r="AY36" t="s">
        <v>1049</v>
      </c>
      <c r="AZ36" s="12" t="s">
        <v>857</v>
      </c>
      <c r="BA36" s="12" t="s">
        <v>858</v>
      </c>
      <c r="BB36" s="12" t="s">
        <v>859</v>
      </c>
    </row>
    <row r="37" spans="1:54" ht="114.15" x14ac:dyDescent="0.25">
      <c r="A37" t="s">
        <v>209</v>
      </c>
      <c r="B37" s="6" t="s">
        <v>210</v>
      </c>
      <c r="C37" t="s">
        <v>211</v>
      </c>
      <c r="D37">
        <v>2019</v>
      </c>
      <c r="E37" t="s">
        <v>212</v>
      </c>
      <c r="F37" s="6" t="s">
        <v>213</v>
      </c>
      <c r="G37" s="6" t="s">
        <v>45</v>
      </c>
      <c r="H37" s="13" t="s">
        <v>214</v>
      </c>
      <c r="I37" t="s">
        <v>14</v>
      </c>
      <c r="J37" t="s">
        <v>959</v>
      </c>
      <c r="K37" t="s">
        <v>985</v>
      </c>
      <c r="L37" s="9" t="s">
        <v>118</v>
      </c>
      <c r="M37" t="s">
        <v>946</v>
      </c>
      <c r="N37" s="6" t="s">
        <v>215</v>
      </c>
      <c r="O37" s="6" t="s">
        <v>7</v>
      </c>
      <c r="P37">
        <v>2016</v>
      </c>
      <c r="Q37" s="6">
        <v>1</v>
      </c>
      <c r="R37" s="6" t="s">
        <v>216</v>
      </c>
      <c r="S37" t="s">
        <v>9</v>
      </c>
      <c r="T37" t="s">
        <v>152</v>
      </c>
      <c r="U37" t="s">
        <v>979</v>
      </c>
      <c r="V37" t="s">
        <v>430</v>
      </c>
      <c r="W37" t="s">
        <v>117</v>
      </c>
      <c r="X37" t="s">
        <v>13</v>
      </c>
      <c r="Y37">
        <v>20</v>
      </c>
      <c r="Z37" t="s">
        <v>11</v>
      </c>
      <c r="AA37" t="s">
        <v>11</v>
      </c>
      <c r="AB37" t="s">
        <v>11</v>
      </c>
      <c r="AC37" t="s">
        <v>11</v>
      </c>
      <c r="AD37" t="s">
        <v>80</v>
      </c>
      <c r="AE37" t="s">
        <v>81</v>
      </c>
      <c r="AF37" t="s">
        <v>11</v>
      </c>
      <c r="AG37" s="9" t="s">
        <v>11</v>
      </c>
      <c r="AH37"/>
      <c r="AI37" s="10" t="s">
        <v>18</v>
      </c>
      <c r="AJ37" s="11" t="s">
        <v>217</v>
      </c>
      <c r="AK37" s="11" t="s">
        <v>11</v>
      </c>
      <c r="AL37" t="s">
        <v>11</v>
      </c>
      <c r="AM37" s="9" t="s">
        <v>218</v>
      </c>
      <c r="AN37" s="10" t="s">
        <v>18</v>
      </c>
      <c r="AO37" t="s">
        <v>11</v>
      </c>
      <c r="AP37" t="s">
        <v>11</v>
      </c>
      <c r="AQ37" t="s">
        <v>11</v>
      </c>
      <c r="AR37" t="s">
        <v>11</v>
      </c>
      <c r="AS37" t="s">
        <v>11</v>
      </c>
      <c r="AT37" t="s">
        <v>11</v>
      </c>
      <c r="AU37"/>
      <c r="AV37" t="s">
        <v>1123</v>
      </c>
      <c r="AW37" s="40">
        <v>45715</v>
      </c>
      <c r="AX37" t="s">
        <v>35</v>
      </c>
      <c r="AY37" t="s">
        <v>1049</v>
      </c>
      <c r="AZ37" s="12" t="s">
        <v>219</v>
      </c>
      <c r="BA37" s="12" t="s">
        <v>220</v>
      </c>
      <c r="BB37" s="12" t="s">
        <v>221</v>
      </c>
    </row>
    <row r="38" spans="1:54" ht="71.349999999999994" x14ac:dyDescent="0.25">
      <c r="A38" t="s">
        <v>648</v>
      </c>
      <c r="B38" s="6" t="s">
        <v>649</v>
      </c>
      <c r="C38" t="s">
        <v>650</v>
      </c>
      <c r="D38">
        <v>2010</v>
      </c>
      <c r="E38" t="s">
        <v>192</v>
      </c>
      <c r="F38" s="6" t="s">
        <v>193</v>
      </c>
      <c r="G38" s="6" t="s">
        <v>45</v>
      </c>
      <c r="H38" s="13" t="s">
        <v>651</v>
      </c>
      <c r="I38" t="s">
        <v>14</v>
      </c>
      <c r="J38" s="6" t="s">
        <v>971</v>
      </c>
      <c r="K38" s="6" t="s">
        <v>971</v>
      </c>
      <c r="L38" s="9" t="s">
        <v>118</v>
      </c>
      <c r="M38" t="s">
        <v>946</v>
      </c>
      <c r="N38" s="6" t="s">
        <v>652</v>
      </c>
      <c r="O38" s="6" t="s">
        <v>7</v>
      </c>
      <c r="P38">
        <v>2005</v>
      </c>
      <c r="Q38" s="6">
        <v>1</v>
      </c>
      <c r="R38" t="s">
        <v>245</v>
      </c>
      <c r="S38" t="s">
        <v>246</v>
      </c>
      <c r="T38" t="s">
        <v>152</v>
      </c>
      <c r="U38" t="s">
        <v>979</v>
      </c>
      <c r="V38" t="s">
        <v>955</v>
      </c>
      <c r="W38" t="s">
        <v>12</v>
      </c>
      <c r="X38" s="6" t="s">
        <v>13</v>
      </c>
      <c r="Y38" s="6">
        <v>32</v>
      </c>
      <c r="Z38" s="6" t="s">
        <v>11</v>
      </c>
      <c r="AA38">
        <v>54376</v>
      </c>
      <c r="AB38">
        <v>319918</v>
      </c>
      <c r="AC38">
        <v>238505</v>
      </c>
      <c r="AD38" t="s">
        <v>80</v>
      </c>
      <c r="AE38" t="s">
        <v>81</v>
      </c>
      <c r="AF38" t="s">
        <v>11</v>
      </c>
      <c r="AG38" s="9" t="s">
        <v>11</v>
      </c>
      <c r="AH38"/>
      <c r="AI38" s="10" t="s">
        <v>18</v>
      </c>
      <c r="AJ38" s="11" t="s">
        <v>11</v>
      </c>
      <c r="AK38" s="11" t="s">
        <v>11</v>
      </c>
      <c r="AL38" t="s">
        <v>11</v>
      </c>
      <c r="AM38" s="9" t="s">
        <v>653</v>
      </c>
      <c r="AN38" s="10" t="s">
        <v>18</v>
      </c>
      <c r="AO38" t="s">
        <v>11</v>
      </c>
      <c r="AP38" t="s">
        <v>11</v>
      </c>
      <c r="AQ38" t="s">
        <v>11</v>
      </c>
      <c r="AR38" t="s">
        <v>11</v>
      </c>
      <c r="AS38" t="s">
        <v>11</v>
      </c>
      <c r="AT38" t="s">
        <v>11</v>
      </c>
      <c r="AU38"/>
      <c r="AV38" t="s">
        <v>1123</v>
      </c>
      <c r="AW38" s="40">
        <v>45727</v>
      </c>
      <c r="AX38" t="s">
        <v>35</v>
      </c>
      <c r="AY38" t="s">
        <v>1049</v>
      </c>
      <c r="AZ38" s="12" t="s">
        <v>654</v>
      </c>
      <c r="BA38" s="12" t="s">
        <v>655</v>
      </c>
      <c r="BB38" s="12" t="s">
        <v>656</v>
      </c>
    </row>
    <row r="39" spans="1:54" ht="142" x14ac:dyDescent="0.25">
      <c r="A39" t="s">
        <v>170</v>
      </c>
      <c r="B39" s="6" t="s">
        <v>171</v>
      </c>
      <c r="C39" t="s">
        <v>172</v>
      </c>
      <c r="D39">
        <v>2022</v>
      </c>
      <c r="E39" t="s">
        <v>173</v>
      </c>
      <c r="F39" s="6" t="s">
        <v>54</v>
      </c>
      <c r="G39" s="6" t="s">
        <v>4</v>
      </c>
      <c r="H39" s="13" t="s">
        <v>174</v>
      </c>
      <c r="I39" t="s">
        <v>14</v>
      </c>
      <c r="J39" t="s">
        <v>181</v>
      </c>
      <c r="K39" t="s">
        <v>943</v>
      </c>
      <c r="L39" s="9" t="s">
        <v>118</v>
      </c>
      <c r="M39" t="s">
        <v>946</v>
      </c>
      <c r="N39" s="6" t="s">
        <v>175</v>
      </c>
      <c r="O39" s="6" t="s">
        <v>7</v>
      </c>
      <c r="P39" s="6" t="s">
        <v>176</v>
      </c>
      <c r="Q39" t="s">
        <v>177</v>
      </c>
      <c r="R39" t="s">
        <v>178</v>
      </c>
      <c r="S39" t="s">
        <v>9</v>
      </c>
      <c r="T39" t="s">
        <v>10</v>
      </c>
      <c r="V39" t="s">
        <v>11</v>
      </c>
      <c r="W39" t="s">
        <v>12</v>
      </c>
      <c r="X39" s="6" t="s">
        <v>13</v>
      </c>
      <c r="Y39" s="6" t="s">
        <v>179</v>
      </c>
      <c r="Z39" s="6" t="s">
        <v>11</v>
      </c>
      <c r="AA39" t="s">
        <v>1035</v>
      </c>
      <c r="AB39" t="s">
        <v>180</v>
      </c>
      <c r="AC39" t="s">
        <v>11</v>
      </c>
      <c r="AD39" t="s">
        <v>80</v>
      </c>
      <c r="AE39" t="s">
        <v>81</v>
      </c>
      <c r="AF39" t="s">
        <v>11</v>
      </c>
      <c r="AG39" s="9" t="s">
        <v>11</v>
      </c>
      <c r="AH39"/>
      <c r="AI39" s="10" t="s">
        <v>18</v>
      </c>
      <c r="AJ39" s="11" t="s">
        <v>182</v>
      </c>
      <c r="AK39" s="11" t="s">
        <v>183</v>
      </c>
      <c r="AL39" t="s">
        <v>11</v>
      </c>
      <c r="AM39" s="9" t="s">
        <v>11</v>
      </c>
      <c r="AN39" s="10" t="s">
        <v>35</v>
      </c>
      <c r="AO39" t="s">
        <v>184</v>
      </c>
      <c r="AP39" t="s">
        <v>185</v>
      </c>
      <c r="AQ39" t="s">
        <v>18</v>
      </c>
      <c r="AR39" t="s">
        <v>11</v>
      </c>
      <c r="AS39" t="s">
        <v>11</v>
      </c>
      <c r="AT39" t="s">
        <v>18</v>
      </c>
      <c r="AU39"/>
      <c r="AV39" t="s">
        <v>1123</v>
      </c>
      <c r="AW39" s="40">
        <v>45727</v>
      </c>
      <c r="AX39" t="s">
        <v>35</v>
      </c>
      <c r="AY39" t="s">
        <v>1049</v>
      </c>
      <c r="AZ39" s="35" t="s">
        <v>186</v>
      </c>
      <c r="BA39" s="35" t="s">
        <v>187</v>
      </c>
      <c r="BB39" s="35" t="s">
        <v>188</v>
      </c>
    </row>
    <row r="40" spans="1:54" ht="100.9" customHeight="1" x14ac:dyDescent="0.25">
      <c r="A40" t="s">
        <v>928</v>
      </c>
      <c r="I40" t="s">
        <v>14</v>
      </c>
      <c r="J40" t="s">
        <v>959</v>
      </c>
      <c r="K40" t="s">
        <v>986</v>
      </c>
      <c r="L40" s="9" t="s">
        <v>118</v>
      </c>
      <c r="M40" t="s">
        <v>946</v>
      </c>
      <c r="N40" s="6" t="s">
        <v>175</v>
      </c>
      <c r="O40" s="6" t="s">
        <v>7</v>
      </c>
      <c r="P40" s="6">
        <v>2003</v>
      </c>
      <c r="Q40">
        <v>9</v>
      </c>
      <c r="R40" t="s">
        <v>178</v>
      </c>
      <c r="S40" t="s">
        <v>9</v>
      </c>
      <c r="T40" t="s">
        <v>10</v>
      </c>
      <c r="V40" t="s">
        <v>11</v>
      </c>
      <c r="W40" t="s">
        <v>12</v>
      </c>
      <c r="X40" s="6" t="s">
        <v>13</v>
      </c>
      <c r="Y40" s="6">
        <v>372</v>
      </c>
      <c r="Z40" s="6"/>
      <c r="AA40">
        <v>214529</v>
      </c>
      <c r="AB40">
        <v>34045231</v>
      </c>
      <c r="AC40" t="s">
        <v>11</v>
      </c>
      <c r="AD40" t="s">
        <v>80</v>
      </c>
      <c r="AE40" t="s">
        <v>81</v>
      </c>
      <c r="AF40" t="s">
        <v>11</v>
      </c>
      <c r="AG40" s="9" t="s">
        <v>11</v>
      </c>
      <c r="AH40"/>
      <c r="AI40" s="10"/>
      <c r="AJ40" s="11" t="s">
        <v>182</v>
      </c>
      <c r="AK40" s="11" t="s">
        <v>183</v>
      </c>
      <c r="AL40" t="s">
        <v>11</v>
      </c>
      <c r="AM40" s="9" t="s">
        <v>11</v>
      </c>
      <c r="AN40" s="10" t="s">
        <v>35</v>
      </c>
      <c r="AO40" t="s">
        <v>184</v>
      </c>
      <c r="AP40" t="s">
        <v>185</v>
      </c>
      <c r="AQ40" t="s">
        <v>18</v>
      </c>
      <c r="AR40" t="s">
        <v>11</v>
      </c>
      <c r="AS40" t="s">
        <v>11</v>
      </c>
      <c r="AT40" t="s">
        <v>18</v>
      </c>
      <c r="AU40"/>
      <c r="AV40" t="s">
        <v>1123</v>
      </c>
      <c r="AW40"/>
      <c r="AX40" t="s">
        <v>35</v>
      </c>
      <c r="AY40" s="9"/>
      <c r="AZ40" s="35"/>
      <c r="BA40" s="35"/>
      <c r="BB40" s="35"/>
    </row>
    <row r="41" spans="1:54" ht="86.45" customHeight="1" x14ac:dyDescent="0.25">
      <c r="A41" t="s">
        <v>929</v>
      </c>
      <c r="I41" t="s">
        <v>14</v>
      </c>
      <c r="J41" t="s">
        <v>961</v>
      </c>
      <c r="K41" t="s">
        <v>961</v>
      </c>
      <c r="L41" s="9" t="s">
        <v>118</v>
      </c>
      <c r="M41" t="s">
        <v>946</v>
      </c>
      <c r="N41" s="6" t="s">
        <v>175</v>
      </c>
      <c r="O41" s="6" t="s">
        <v>7</v>
      </c>
      <c r="P41" s="6">
        <v>2009</v>
      </c>
      <c r="Q41">
        <v>7</v>
      </c>
      <c r="R41" t="s">
        <v>178</v>
      </c>
      <c r="S41" t="s">
        <v>9</v>
      </c>
      <c r="T41" t="s">
        <v>10</v>
      </c>
      <c r="V41" t="s">
        <v>11</v>
      </c>
      <c r="W41" t="s">
        <v>12</v>
      </c>
      <c r="X41" s="6" t="s">
        <v>13</v>
      </c>
      <c r="Y41" s="6">
        <v>116</v>
      </c>
      <c r="Z41" s="6"/>
      <c r="AA41">
        <v>38006</v>
      </c>
      <c r="AB41">
        <v>2250928</v>
      </c>
      <c r="AC41" t="s">
        <v>11</v>
      </c>
      <c r="AD41" t="s">
        <v>80</v>
      </c>
      <c r="AE41" t="s">
        <v>81</v>
      </c>
      <c r="AF41" t="s">
        <v>11</v>
      </c>
      <c r="AG41" s="9" t="s">
        <v>11</v>
      </c>
      <c r="AH41"/>
      <c r="AI41" s="10"/>
      <c r="AJ41" s="11" t="s">
        <v>182</v>
      </c>
      <c r="AK41" s="11" t="s">
        <v>183</v>
      </c>
      <c r="AL41" t="s">
        <v>11</v>
      </c>
      <c r="AM41" s="9" t="s">
        <v>11</v>
      </c>
      <c r="AN41" s="10" t="s">
        <v>35</v>
      </c>
      <c r="AO41" t="s">
        <v>184</v>
      </c>
      <c r="AP41" t="s">
        <v>185</v>
      </c>
      <c r="AQ41" t="s">
        <v>18</v>
      </c>
      <c r="AR41" t="s">
        <v>11</v>
      </c>
      <c r="AS41" t="s">
        <v>11</v>
      </c>
      <c r="AT41" t="s">
        <v>18</v>
      </c>
      <c r="AU41"/>
      <c r="AV41" t="s">
        <v>1123</v>
      </c>
      <c r="AW41"/>
      <c r="AX41" t="s">
        <v>35</v>
      </c>
      <c r="AY41"/>
      <c r="AZ41" s="35"/>
      <c r="BA41" s="35"/>
      <c r="BB41" s="35"/>
    </row>
    <row r="42" spans="1:54" ht="73.2" customHeight="1" x14ac:dyDescent="0.25">
      <c r="A42" t="s">
        <v>930</v>
      </c>
      <c r="I42" t="s">
        <v>14</v>
      </c>
      <c r="J42" t="s">
        <v>962</v>
      </c>
      <c r="K42" t="s">
        <v>962</v>
      </c>
      <c r="L42" s="9" t="s">
        <v>118</v>
      </c>
      <c r="M42" t="s">
        <v>946</v>
      </c>
      <c r="N42" s="6" t="s">
        <v>175</v>
      </c>
      <c r="O42" s="6" t="s">
        <v>7</v>
      </c>
      <c r="P42" s="6">
        <v>2009</v>
      </c>
      <c r="Q42">
        <v>6</v>
      </c>
      <c r="R42" t="s">
        <v>178</v>
      </c>
      <c r="S42" t="s">
        <v>9</v>
      </c>
      <c r="T42" t="s">
        <v>10</v>
      </c>
      <c r="V42" t="s">
        <v>11</v>
      </c>
      <c r="W42" t="s">
        <v>12</v>
      </c>
      <c r="X42" s="6" t="s">
        <v>13</v>
      </c>
      <c r="Y42" s="6">
        <v>54</v>
      </c>
      <c r="Z42" s="6"/>
      <c r="AA42">
        <v>20133</v>
      </c>
      <c r="AB42">
        <v>1144447</v>
      </c>
      <c r="AC42" t="s">
        <v>11</v>
      </c>
      <c r="AD42" t="s">
        <v>80</v>
      </c>
      <c r="AE42" t="s">
        <v>81</v>
      </c>
      <c r="AF42" t="s">
        <v>11</v>
      </c>
      <c r="AG42" s="9" t="s">
        <v>11</v>
      </c>
      <c r="AH42"/>
      <c r="AI42" s="10"/>
      <c r="AJ42" s="11" t="s">
        <v>182</v>
      </c>
      <c r="AK42" s="11" t="s">
        <v>183</v>
      </c>
      <c r="AL42" t="s">
        <v>11</v>
      </c>
      <c r="AM42" s="9" t="s">
        <v>11</v>
      </c>
      <c r="AN42" s="10" t="s">
        <v>35</v>
      </c>
      <c r="AO42" t="s">
        <v>184</v>
      </c>
      <c r="AP42" t="s">
        <v>185</v>
      </c>
      <c r="AQ42" t="s">
        <v>18</v>
      </c>
      <c r="AR42" t="s">
        <v>11</v>
      </c>
      <c r="AS42" t="s">
        <v>11</v>
      </c>
      <c r="AT42" t="s">
        <v>18</v>
      </c>
      <c r="AU42"/>
      <c r="AV42" t="s">
        <v>1123</v>
      </c>
      <c r="AW42"/>
      <c r="AX42" t="s">
        <v>35</v>
      </c>
      <c r="AY42"/>
      <c r="AZ42" s="35"/>
      <c r="BA42" s="35"/>
      <c r="BB42" s="35"/>
    </row>
    <row r="43" spans="1:54" ht="115.15" customHeight="1" x14ac:dyDescent="0.25">
      <c r="A43" t="s">
        <v>657</v>
      </c>
      <c r="B43" s="6" t="s">
        <v>658</v>
      </c>
      <c r="C43" t="s">
        <v>659</v>
      </c>
      <c r="D43">
        <v>2012</v>
      </c>
      <c r="E43" t="s">
        <v>312</v>
      </c>
      <c r="F43" s="6" t="s">
        <v>150</v>
      </c>
      <c r="G43" s="6" t="s">
        <v>150</v>
      </c>
      <c r="H43" t="s">
        <v>660</v>
      </c>
      <c r="I43" t="s">
        <v>14</v>
      </c>
      <c r="J43" s="6" t="s">
        <v>971</v>
      </c>
      <c r="K43" s="6" t="s">
        <v>971</v>
      </c>
      <c r="L43" s="9" t="s">
        <v>118</v>
      </c>
      <c r="M43" t="s">
        <v>946</v>
      </c>
      <c r="N43" s="6" t="s">
        <v>633</v>
      </c>
      <c r="O43" s="6" t="s">
        <v>634</v>
      </c>
      <c r="P43">
        <v>2005</v>
      </c>
      <c r="Q43" s="6">
        <v>1</v>
      </c>
      <c r="R43" t="s">
        <v>245</v>
      </c>
      <c r="S43" t="s">
        <v>246</v>
      </c>
      <c r="T43" t="s">
        <v>152</v>
      </c>
      <c r="U43" t="s">
        <v>979</v>
      </c>
      <c r="V43" t="s">
        <v>955</v>
      </c>
      <c r="W43" t="s">
        <v>12</v>
      </c>
      <c r="X43" s="6" t="s">
        <v>13</v>
      </c>
      <c r="Y43" s="6">
        <v>30</v>
      </c>
      <c r="Z43" s="6" t="s">
        <v>11</v>
      </c>
      <c r="AA43" t="s">
        <v>11</v>
      </c>
      <c r="AB43" t="s">
        <v>661</v>
      </c>
      <c r="AC43" s="6" t="s">
        <v>11</v>
      </c>
      <c r="AD43" t="s">
        <v>80</v>
      </c>
      <c r="AE43" t="s">
        <v>81</v>
      </c>
      <c r="AF43" t="s">
        <v>11</v>
      </c>
      <c r="AG43" s="9" t="s">
        <v>11</v>
      </c>
      <c r="AH43"/>
      <c r="AI43" s="10" t="s">
        <v>18</v>
      </c>
      <c r="AJ43" s="6" t="s">
        <v>11</v>
      </c>
      <c r="AK43" s="6" t="s">
        <v>11</v>
      </c>
      <c r="AL43" t="s">
        <v>11</v>
      </c>
      <c r="AM43" s="9" t="s">
        <v>11</v>
      </c>
      <c r="AN43" s="10" t="s">
        <v>18</v>
      </c>
      <c r="AO43" t="s">
        <v>11</v>
      </c>
      <c r="AP43" t="s">
        <v>11</v>
      </c>
      <c r="AQ43" t="s">
        <v>11</v>
      </c>
      <c r="AR43" t="s">
        <v>11</v>
      </c>
      <c r="AS43" t="s">
        <v>11</v>
      </c>
      <c r="AT43" t="s">
        <v>11</v>
      </c>
      <c r="AU43"/>
      <c r="AV43" t="s">
        <v>1123</v>
      </c>
      <c r="AW43" s="40">
        <v>45727</v>
      </c>
      <c r="AX43" t="s">
        <v>35</v>
      </c>
      <c r="AY43" t="s">
        <v>1049</v>
      </c>
      <c r="AZ43" s="12" t="s">
        <v>662</v>
      </c>
      <c r="BA43" s="12" t="s">
        <v>663</v>
      </c>
      <c r="BB43" s="12" t="s">
        <v>664</v>
      </c>
    </row>
    <row r="44" spans="1:54" ht="228.25" x14ac:dyDescent="0.25">
      <c r="A44" t="s">
        <v>25</v>
      </c>
      <c r="B44" s="6" t="s">
        <v>26</v>
      </c>
      <c r="C44" t="s">
        <v>27</v>
      </c>
      <c r="D44">
        <v>2017</v>
      </c>
      <c r="E44" t="s">
        <v>28</v>
      </c>
      <c r="F44" s="6" t="s">
        <v>29</v>
      </c>
      <c r="G44" s="6" t="s">
        <v>30</v>
      </c>
      <c r="H44" s="6" t="s">
        <v>31</v>
      </c>
      <c r="I44" t="s">
        <v>14</v>
      </c>
      <c r="J44" s="6" t="s">
        <v>975</v>
      </c>
      <c r="K44" s="6" t="s">
        <v>975</v>
      </c>
      <c r="L44" s="9" t="s">
        <v>15</v>
      </c>
      <c r="M44" t="s">
        <v>945</v>
      </c>
      <c r="N44" s="6" t="s">
        <v>6</v>
      </c>
      <c r="O44" s="6" t="s">
        <v>7</v>
      </c>
      <c r="P44">
        <v>2003</v>
      </c>
      <c r="Q44" s="6">
        <v>5</v>
      </c>
      <c r="R44" s="6" t="s">
        <v>32</v>
      </c>
      <c r="S44" s="6" t="s">
        <v>9</v>
      </c>
      <c r="T44" t="s">
        <v>10</v>
      </c>
      <c r="V44" t="s">
        <v>11</v>
      </c>
      <c r="W44" t="s">
        <v>12</v>
      </c>
      <c r="X44" s="6" t="s">
        <v>13</v>
      </c>
      <c r="Y44" s="6">
        <v>31</v>
      </c>
      <c r="Z44" t="s">
        <v>11</v>
      </c>
      <c r="AA44">
        <v>4111</v>
      </c>
      <c r="AB44" t="s">
        <v>11</v>
      </c>
      <c r="AC44" t="s">
        <v>11</v>
      </c>
      <c r="AD44" t="s">
        <v>16</v>
      </c>
      <c r="AE44" t="s">
        <v>11</v>
      </c>
      <c r="AF44" t="s">
        <v>11</v>
      </c>
      <c r="AG44" s="9" t="s">
        <v>33</v>
      </c>
      <c r="AH44" t="s">
        <v>34</v>
      </c>
      <c r="AI44" s="10" t="s">
        <v>35</v>
      </c>
      <c r="AJ44" s="11" t="s">
        <v>36</v>
      </c>
      <c r="AK44" s="11" t="s">
        <v>37</v>
      </c>
      <c r="AL44" t="s">
        <v>38</v>
      </c>
      <c r="AM44" t="s">
        <v>39</v>
      </c>
      <c r="AN44" s="10" t="s">
        <v>18</v>
      </c>
      <c r="AO44" t="s">
        <v>11</v>
      </c>
      <c r="AP44" t="s">
        <v>11</v>
      </c>
      <c r="AQ44" t="s">
        <v>11</v>
      </c>
      <c r="AR44" t="s">
        <v>11</v>
      </c>
      <c r="AS44" t="s">
        <v>11</v>
      </c>
      <c r="AT44" t="s">
        <v>11</v>
      </c>
      <c r="AU44"/>
      <c r="AV44" t="s">
        <v>1123</v>
      </c>
      <c r="AW44" s="40">
        <v>45715</v>
      </c>
      <c r="AX44" t="s">
        <v>35</v>
      </c>
      <c r="AY44" t="s">
        <v>1049</v>
      </c>
      <c r="AZ44" s="38" t="s">
        <v>1120</v>
      </c>
      <c r="BA44" s="38" t="s">
        <v>1121</v>
      </c>
      <c r="BB44" s="38" t="s">
        <v>1122</v>
      </c>
    </row>
    <row r="45" spans="1:54" ht="57.1" x14ac:dyDescent="0.25">
      <c r="A45" t="s">
        <v>1008</v>
      </c>
      <c r="B45" s="6" t="s">
        <v>1012</v>
      </c>
      <c r="C45" t="s">
        <v>1013</v>
      </c>
      <c r="D45">
        <v>2023</v>
      </c>
      <c r="E45" t="s">
        <v>1017</v>
      </c>
      <c r="G45" s="6" t="s">
        <v>45</v>
      </c>
      <c r="H45" s="6" t="s">
        <v>1018</v>
      </c>
      <c r="I45" s="6" t="s">
        <v>14</v>
      </c>
      <c r="J45" s="6" t="s">
        <v>1019</v>
      </c>
      <c r="L45" s="13"/>
      <c r="M45" s="7" t="s">
        <v>946</v>
      </c>
      <c r="O45" s="6" t="s">
        <v>7</v>
      </c>
      <c r="T45" t="s">
        <v>152</v>
      </c>
      <c r="U45" t="s">
        <v>981</v>
      </c>
      <c r="V45" t="s">
        <v>116</v>
      </c>
      <c r="W45" t="s">
        <v>117</v>
      </c>
      <c r="X45" t="s">
        <v>13</v>
      </c>
      <c r="AA45" t="s">
        <v>11</v>
      </c>
      <c r="AD45" t="s">
        <v>80</v>
      </c>
      <c r="AE45" t="s">
        <v>81</v>
      </c>
      <c r="AF45" t="s">
        <v>11</v>
      </c>
      <c r="AG45" s="9" t="s">
        <v>11</v>
      </c>
      <c r="AH45"/>
      <c r="AI45" s="10"/>
      <c r="AJ45" s="11"/>
      <c r="AK45" s="11" t="s">
        <v>406</v>
      </c>
      <c r="AL45"/>
      <c r="AM45" s="9"/>
      <c r="AN45" s="10"/>
      <c r="AV45" t="s">
        <v>1123</v>
      </c>
      <c r="AW45" s="40">
        <v>45937</v>
      </c>
      <c r="AX45" t="s">
        <v>35</v>
      </c>
      <c r="AY45" t="s">
        <v>1050</v>
      </c>
      <c r="AZ45" s="21"/>
      <c r="BA45" s="21"/>
      <c r="BB45" s="21"/>
    </row>
    <row r="46" spans="1:54" x14ac:dyDescent="0.25">
      <c r="A46" t="s">
        <v>1011</v>
      </c>
      <c r="I46" s="6" t="s">
        <v>14</v>
      </c>
      <c r="J46" s="6" t="s">
        <v>1016</v>
      </c>
      <c r="K46" s="6" t="s">
        <v>1016</v>
      </c>
      <c r="L46" s="13" t="s">
        <v>852</v>
      </c>
      <c r="M46" s="7" t="s">
        <v>946</v>
      </c>
      <c r="N46" s="7" t="s">
        <v>1020</v>
      </c>
      <c r="O46" s="6" t="s">
        <v>7</v>
      </c>
      <c r="P46">
        <v>2017</v>
      </c>
      <c r="Q46">
        <v>1</v>
      </c>
      <c r="S46" s="6" t="s">
        <v>9</v>
      </c>
      <c r="T46" t="s">
        <v>152</v>
      </c>
      <c r="U46" t="s">
        <v>981</v>
      </c>
      <c r="V46" t="s">
        <v>116</v>
      </c>
      <c r="W46" t="s">
        <v>117</v>
      </c>
      <c r="X46" t="s">
        <v>13</v>
      </c>
      <c r="Y46" s="15">
        <v>264</v>
      </c>
      <c r="Z46" t="s">
        <v>11</v>
      </c>
      <c r="AA46" t="s">
        <v>11</v>
      </c>
      <c r="AB46" t="s">
        <v>11</v>
      </c>
      <c r="AC46" t="s">
        <v>11</v>
      </c>
      <c r="AD46" t="s">
        <v>80</v>
      </c>
      <c r="AE46" t="s">
        <v>81</v>
      </c>
      <c r="AF46" t="s">
        <v>11</v>
      </c>
      <c r="AG46" s="9" t="s">
        <v>11</v>
      </c>
      <c r="AH46"/>
      <c r="AI46" s="10"/>
      <c r="AJ46" s="11"/>
      <c r="AK46" s="11" t="s">
        <v>406</v>
      </c>
      <c r="AL46"/>
      <c r="AM46" s="9"/>
      <c r="AN46" s="10" t="s">
        <v>18</v>
      </c>
      <c r="AO46" t="s">
        <v>11</v>
      </c>
      <c r="AP46" t="s">
        <v>11</v>
      </c>
      <c r="AQ46" t="s">
        <v>11</v>
      </c>
      <c r="AR46" t="s">
        <v>11</v>
      </c>
      <c r="AS46" t="s">
        <v>11</v>
      </c>
      <c r="AT46" t="s">
        <v>11</v>
      </c>
      <c r="AU46" t="s">
        <v>11</v>
      </c>
      <c r="AV46" t="s">
        <v>1123</v>
      </c>
      <c r="AW46"/>
      <c r="AX46" t="s">
        <v>35</v>
      </c>
      <c r="AY46" t="s">
        <v>1050</v>
      </c>
      <c r="AZ46" s="21"/>
      <c r="BA46" s="21"/>
      <c r="BB46" s="21"/>
    </row>
    <row r="47" spans="1:54" x14ac:dyDescent="0.25">
      <c r="A47" t="s">
        <v>1009</v>
      </c>
      <c r="I47" s="6" t="s">
        <v>14</v>
      </c>
      <c r="J47" s="6" t="s">
        <v>1014</v>
      </c>
      <c r="K47" s="6" t="s">
        <v>1014</v>
      </c>
      <c r="L47" s="13" t="s">
        <v>852</v>
      </c>
      <c r="M47" s="7" t="s">
        <v>946</v>
      </c>
      <c r="N47" s="7" t="s">
        <v>1020</v>
      </c>
      <c r="O47" s="6" t="s">
        <v>7</v>
      </c>
      <c r="P47">
        <v>2017</v>
      </c>
      <c r="Q47">
        <v>1</v>
      </c>
      <c r="S47" s="6" t="s">
        <v>9</v>
      </c>
      <c r="T47" t="s">
        <v>152</v>
      </c>
      <c r="U47" t="s">
        <v>981</v>
      </c>
      <c r="V47" t="s">
        <v>116</v>
      </c>
      <c r="W47" t="s">
        <v>117</v>
      </c>
      <c r="X47" t="s">
        <v>13</v>
      </c>
      <c r="Y47" s="15">
        <v>514</v>
      </c>
      <c r="Z47" t="s">
        <v>11</v>
      </c>
      <c r="AA47" t="s">
        <v>11</v>
      </c>
      <c r="AB47" t="s">
        <v>11</v>
      </c>
      <c r="AC47" t="s">
        <v>11</v>
      </c>
      <c r="AD47" t="s">
        <v>80</v>
      </c>
      <c r="AE47" t="s">
        <v>81</v>
      </c>
      <c r="AF47" t="s">
        <v>11</v>
      </c>
      <c r="AG47" s="9" t="s">
        <v>11</v>
      </c>
      <c r="AH47"/>
      <c r="AI47" s="10"/>
      <c r="AJ47" s="11"/>
      <c r="AK47" s="11" t="s">
        <v>406</v>
      </c>
      <c r="AL47"/>
      <c r="AM47" s="9"/>
      <c r="AN47" s="10" t="s">
        <v>18</v>
      </c>
      <c r="AO47" t="s">
        <v>11</v>
      </c>
      <c r="AP47" t="s">
        <v>11</v>
      </c>
      <c r="AQ47" t="s">
        <v>11</v>
      </c>
      <c r="AR47" t="s">
        <v>11</v>
      </c>
      <c r="AS47" t="s">
        <v>11</v>
      </c>
      <c r="AT47" t="s">
        <v>11</v>
      </c>
      <c r="AU47" t="s">
        <v>11</v>
      </c>
      <c r="AV47" t="s">
        <v>1123</v>
      </c>
      <c r="AW47"/>
      <c r="AX47" t="s">
        <v>35</v>
      </c>
      <c r="AY47" t="s">
        <v>1050</v>
      </c>
      <c r="AZ47" s="21"/>
      <c r="BA47" s="21"/>
      <c r="BB47" s="21"/>
    </row>
    <row r="48" spans="1:54" x14ac:dyDescent="0.25">
      <c r="A48" t="s">
        <v>1010</v>
      </c>
      <c r="I48" s="6" t="s">
        <v>14</v>
      </c>
      <c r="J48" s="6" t="s">
        <v>1015</v>
      </c>
      <c r="K48" s="6" t="s">
        <v>1015</v>
      </c>
      <c r="L48" s="13" t="s">
        <v>852</v>
      </c>
      <c r="M48" s="7" t="s">
        <v>946</v>
      </c>
      <c r="N48" s="7" t="s">
        <v>1020</v>
      </c>
      <c r="O48" s="6" t="s">
        <v>7</v>
      </c>
      <c r="P48">
        <v>2017</v>
      </c>
      <c r="Q48">
        <v>1</v>
      </c>
      <c r="S48" s="6" t="s">
        <v>9</v>
      </c>
      <c r="T48" t="s">
        <v>152</v>
      </c>
      <c r="U48" t="s">
        <v>981</v>
      </c>
      <c r="V48" t="s">
        <v>116</v>
      </c>
      <c r="W48" t="s">
        <v>117</v>
      </c>
      <c r="X48" t="s">
        <v>13</v>
      </c>
      <c r="Y48" s="15">
        <v>459</v>
      </c>
      <c r="Z48" t="s">
        <v>11</v>
      </c>
      <c r="AA48" t="s">
        <v>11</v>
      </c>
      <c r="AB48" t="s">
        <v>11</v>
      </c>
      <c r="AC48" t="s">
        <v>11</v>
      </c>
      <c r="AD48" t="s">
        <v>80</v>
      </c>
      <c r="AE48" t="s">
        <v>81</v>
      </c>
      <c r="AF48" t="s">
        <v>11</v>
      </c>
      <c r="AG48" s="9" t="s">
        <v>11</v>
      </c>
      <c r="AH48"/>
      <c r="AI48" s="10"/>
      <c r="AJ48" s="11"/>
      <c r="AK48" s="11" t="s">
        <v>406</v>
      </c>
      <c r="AL48"/>
      <c r="AM48" s="9"/>
      <c r="AN48" s="10" t="s">
        <v>18</v>
      </c>
      <c r="AO48" t="s">
        <v>11</v>
      </c>
      <c r="AP48" t="s">
        <v>11</v>
      </c>
      <c r="AQ48" t="s">
        <v>11</v>
      </c>
      <c r="AR48" t="s">
        <v>11</v>
      </c>
      <c r="AS48" t="s">
        <v>11</v>
      </c>
      <c r="AT48" t="s">
        <v>11</v>
      </c>
      <c r="AU48" t="s">
        <v>11</v>
      </c>
      <c r="AV48" t="s">
        <v>1123</v>
      </c>
      <c r="AW48"/>
      <c r="AX48" t="s">
        <v>35</v>
      </c>
      <c r="AY48" t="s">
        <v>1050</v>
      </c>
      <c r="AZ48" s="21"/>
      <c r="BA48" s="21"/>
      <c r="BB48" s="21"/>
    </row>
    <row r="49" spans="1:54" ht="42.8" x14ac:dyDescent="0.25">
      <c r="A49" t="s">
        <v>665</v>
      </c>
      <c r="B49" s="6" t="s">
        <v>666</v>
      </c>
      <c r="C49" t="s">
        <v>667</v>
      </c>
      <c r="D49">
        <v>2011</v>
      </c>
      <c r="E49" t="s">
        <v>668</v>
      </c>
      <c r="F49" s="6" t="s">
        <v>44</v>
      </c>
      <c r="G49" s="6" t="s">
        <v>45</v>
      </c>
      <c r="H49" s="13" t="s">
        <v>669</v>
      </c>
      <c r="I49" t="s">
        <v>14</v>
      </c>
      <c r="J49" s="6" t="s">
        <v>971</v>
      </c>
      <c r="K49" s="6" t="s">
        <v>971</v>
      </c>
      <c r="L49" s="9" t="s">
        <v>118</v>
      </c>
      <c r="M49" t="s">
        <v>946</v>
      </c>
      <c r="N49" s="6" t="s">
        <v>652</v>
      </c>
      <c r="O49" s="6" t="s">
        <v>7</v>
      </c>
      <c r="P49">
        <v>2005</v>
      </c>
      <c r="Q49">
        <v>1</v>
      </c>
      <c r="R49" t="s">
        <v>670</v>
      </c>
      <c r="S49" t="s">
        <v>246</v>
      </c>
      <c r="T49" t="s">
        <v>152</v>
      </c>
      <c r="U49" t="s">
        <v>979</v>
      </c>
      <c r="V49" t="s">
        <v>955</v>
      </c>
      <c r="W49" t="s">
        <v>12</v>
      </c>
      <c r="X49" s="6" t="s">
        <v>13</v>
      </c>
      <c r="Y49" s="6">
        <v>32</v>
      </c>
      <c r="Z49" t="s">
        <v>11</v>
      </c>
      <c r="AA49" t="s">
        <v>11</v>
      </c>
      <c r="AC49" t="s">
        <v>11</v>
      </c>
      <c r="AD49" t="s">
        <v>80</v>
      </c>
      <c r="AE49" t="s">
        <v>81</v>
      </c>
      <c r="AF49" t="s">
        <v>11</v>
      </c>
      <c r="AG49" s="9" t="s">
        <v>11</v>
      </c>
      <c r="AH49"/>
      <c r="AI49" s="10" t="s">
        <v>18</v>
      </c>
      <c r="AJ49" s="11" t="s">
        <v>671</v>
      </c>
      <c r="AK49" s="11" t="s">
        <v>672</v>
      </c>
      <c r="AL49" t="s">
        <v>673</v>
      </c>
      <c r="AM49" s="9"/>
      <c r="AN49" s="10" t="s">
        <v>18</v>
      </c>
      <c r="AO49" t="s">
        <v>11</v>
      </c>
      <c r="AP49" t="s">
        <v>11</v>
      </c>
      <c r="AQ49" t="s">
        <v>11</v>
      </c>
      <c r="AR49" t="s">
        <v>11</v>
      </c>
      <c r="AS49" t="s">
        <v>11</v>
      </c>
      <c r="AT49" t="s">
        <v>11</v>
      </c>
      <c r="AU49"/>
      <c r="AV49" t="s">
        <v>1123</v>
      </c>
      <c r="AW49" s="40">
        <v>45727</v>
      </c>
      <c r="AX49" t="s">
        <v>35</v>
      </c>
      <c r="AY49" t="s">
        <v>1049</v>
      </c>
      <c r="AZ49" s="12" t="s">
        <v>674</v>
      </c>
      <c r="BA49" s="12" t="s">
        <v>675</v>
      </c>
      <c r="BB49" s="12" t="s">
        <v>676</v>
      </c>
    </row>
    <row r="50" spans="1:54" ht="116.15" x14ac:dyDescent="0.25">
      <c r="A50" t="s">
        <v>677</v>
      </c>
      <c r="B50" s="6" t="s">
        <v>678</v>
      </c>
      <c r="C50" t="s">
        <v>679</v>
      </c>
      <c r="D50">
        <v>2011</v>
      </c>
      <c r="E50" t="s">
        <v>192</v>
      </c>
      <c r="F50" s="6" t="s">
        <v>193</v>
      </c>
      <c r="G50" s="6" t="s">
        <v>45</v>
      </c>
      <c r="H50" s="13" t="s">
        <v>680</v>
      </c>
      <c r="I50" t="s">
        <v>14</v>
      </c>
      <c r="J50" s="6" t="s">
        <v>971</v>
      </c>
      <c r="K50" s="6" t="s">
        <v>971</v>
      </c>
      <c r="L50" s="9" t="s">
        <v>118</v>
      </c>
      <c r="M50" t="s">
        <v>946</v>
      </c>
      <c r="N50" s="6" t="s">
        <v>652</v>
      </c>
      <c r="O50" s="6" t="s">
        <v>7</v>
      </c>
      <c r="P50">
        <v>2006</v>
      </c>
      <c r="Q50" s="6">
        <v>1</v>
      </c>
      <c r="R50" s="6" t="s">
        <v>245</v>
      </c>
      <c r="S50" t="s">
        <v>246</v>
      </c>
      <c r="T50" t="s">
        <v>152</v>
      </c>
      <c r="U50" t="s">
        <v>980</v>
      </c>
      <c r="V50" t="s">
        <v>955</v>
      </c>
      <c r="W50" t="s">
        <v>12</v>
      </c>
      <c r="X50" s="6" t="s">
        <v>13</v>
      </c>
      <c r="Y50" s="6">
        <v>29</v>
      </c>
      <c r="Z50" t="s">
        <v>11</v>
      </c>
      <c r="AA50" t="s">
        <v>11</v>
      </c>
      <c r="AB50" t="s">
        <v>11</v>
      </c>
      <c r="AC50" t="s">
        <v>11</v>
      </c>
      <c r="AD50" t="s">
        <v>80</v>
      </c>
      <c r="AE50" t="s">
        <v>81</v>
      </c>
      <c r="AF50" t="s">
        <v>11</v>
      </c>
      <c r="AG50" s="9" t="s">
        <v>11</v>
      </c>
      <c r="AH50"/>
      <c r="AI50" s="10" t="s">
        <v>18</v>
      </c>
      <c r="AJ50" s="11" t="s">
        <v>681</v>
      </c>
      <c r="AK50" s="11" t="s">
        <v>682</v>
      </c>
      <c r="AL50" t="s">
        <v>11</v>
      </c>
      <c r="AM50" s="9" t="s">
        <v>683</v>
      </c>
      <c r="AN50" s="10" t="s">
        <v>35</v>
      </c>
      <c r="AO50" t="s">
        <v>184</v>
      </c>
      <c r="AP50" t="s">
        <v>143</v>
      </c>
      <c r="AQ50" t="s">
        <v>18</v>
      </c>
      <c r="AR50" t="s">
        <v>11</v>
      </c>
      <c r="AS50" t="s">
        <v>11</v>
      </c>
      <c r="AT50" t="s">
        <v>35</v>
      </c>
      <c r="AU50"/>
      <c r="AV50" t="s">
        <v>1123</v>
      </c>
      <c r="AW50" s="40">
        <v>45727</v>
      </c>
      <c r="AX50" t="s">
        <v>35</v>
      </c>
      <c r="AY50" t="s">
        <v>1049</v>
      </c>
      <c r="AZ50" s="35" t="s">
        <v>684</v>
      </c>
      <c r="BA50" s="35" t="s">
        <v>685</v>
      </c>
      <c r="BB50" s="35" t="s">
        <v>686</v>
      </c>
    </row>
    <row r="51" spans="1:54" ht="71.349999999999994" x14ac:dyDescent="0.25">
      <c r="A51" t="s">
        <v>687</v>
      </c>
      <c r="B51" s="6" t="s">
        <v>688</v>
      </c>
      <c r="C51" t="s">
        <v>689</v>
      </c>
      <c r="D51">
        <v>2011</v>
      </c>
      <c r="E51" t="s">
        <v>160</v>
      </c>
      <c r="F51" s="6" t="s">
        <v>150</v>
      </c>
      <c r="G51" s="6" t="s">
        <v>150</v>
      </c>
      <c r="H51" s="13" t="s">
        <v>690</v>
      </c>
      <c r="I51" t="s">
        <v>14</v>
      </c>
      <c r="J51" s="6" t="s">
        <v>971</v>
      </c>
      <c r="K51" s="6" t="s">
        <v>971</v>
      </c>
      <c r="L51" s="9" t="s">
        <v>118</v>
      </c>
      <c r="M51" t="s">
        <v>946</v>
      </c>
      <c r="N51" s="6" t="s">
        <v>633</v>
      </c>
      <c r="O51" s="6" t="s">
        <v>634</v>
      </c>
      <c r="P51">
        <v>2007</v>
      </c>
      <c r="Q51">
        <v>1</v>
      </c>
      <c r="R51" s="6" t="s">
        <v>245</v>
      </c>
      <c r="S51" t="s">
        <v>246</v>
      </c>
      <c r="T51" t="s">
        <v>10</v>
      </c>
      <c r="V51" t="s">
        <v>11</v>
      </c>
      <c r="W51" t="s">
        <v>117</v>
      </c>
      <c r="X51" t="s">
        <v>13</v>
      </c>
      <c r="Y51">
        <v>32</v>
      </c>
      <c r="Z51" t="s">
        <v>11</v>
      </c>
      <c r="AA51">
        <v>2379</v>
      </c>
      <c r="AC51" t="s">
        <v>11</v>
      </c>
      <c r="AD51" t="s">
        <v>80</v>
      </c>
      <c r="AE51" t="s">
        <v>81</v>
      </c>
      <c r="AF51" t="s">
        <v>11</v>
      </c>
      <c r="AG51" s="9" t="s">
        <v>11</v>
      </c>
      <c r="AH51"/>
      <c r="AI51" s="10" t="s">
        <v>18</v>
      </c>
      <c r="AJ51" s="11" t="s">
        <v>691</v>
      </c>
      <c r="AK51" s="11" t="s">
        <v>692</v>
      </c>
      <c r="AL51"/>
      <c r="AM51" s="9"/>
      <c r="AN51" s="10" t="s">
        <v>18</v>
      </c>
      <c r="AO51" t="s">
        <v>11</v>
      </c>
      <c r="AP51" t="s">
        <v>11</v>
      </c>
      <c r="AQ51" t="s">
        <v>11</v>
      </c>
      <c r="AR51" t="s">
        <v>11</v>
      </c>
      <c r="AS51" t="s">
        <v>11</v>
      </c>
      <c r="AT51" t="s">
        <v>11</v>
      </c>
      <c r="AU51"/>
      <c r="AV51" t="s">
        <v>1123</v>
      </c>
      <c r="AW51" s="40">
        <v>45727</v>
      </c>
      <c r="AX51" t="s">
        <v>35</v>
      </c>
      <c r="AY51" t="s">
        <v>1049</v>
      </c>
      <c r="AZ51" s="12" t="s">
        <v>693</v>
      </c>
      <c r="BA51" s="12" t="s">
        <v>694</v>
      </c>
      <c r="BB51" s="12">
        <v>0</v>
      </c>
    </row>
    <row r="52" spans="1:54" ht="114.15" x14ac:dyDescent="0.25">
      <c r="A52" t="s">
        <v>695</v>
      </c>
      <c r="B52" s="6" t="s">
        <v>696</v>
      </c>
      <c r="C52" t="s">
        <v>697</v>
      </c>
      <c r="D52">
        <v>2012</v>
      </c>
      <c r="E52" t="s">
        <v>698</v>
      </c>
      <c r="F52" s="6" t="s">
        <v>54</v>
      </c>
      <c r="G52" s="6" t="s">
        <v>4</v>
      </c>
      <c r="H52" s="13" t="s">
        <v>699</v>
      </c>
      <c r="I52" t="s">
        <v>14</v>
      </c>
      <c r="J52" s="6" t="s">
        <v>971</v>
      </c>
      <c r="K52" s="6" t="s">
        <v>971</v>
      </c>
      <c r="L52" s="9" t="s">
        <v>118</v>
      </c>
      <c r="M52" t="s">
        <v>946</v>
      </c>
      <c r="N52" s="6" t="s">
        <v>652</v>
      </c>
      <c r="O52" s="6" t="s">
        <v>7</v>
      </c>
      <c r="P52">
        <v>2006</v>
      </c>
      <c r="Q52">
        <v>1</v>
      </c>
      <c r="R52" s="6" t="s">
        <v>245</v>
      </c>
      <c r="S52" t="s">
        <v>246</v>
      </c>
      <c r="T52" t="s">
        <v>152</v>
      </c>
      <c r="U52" t="s">
        <v>980</v>
      </c>
      <c r="V52" t="s">
        <v>955</v>
      </c>
      <c r="W52" t="s">
        <v>12</v>
      </c>
      <c r="X52" s="6" t="s">
        <v>13</v>
      </c>
      <c r="Y52" s="6">
        <v>29</v>
      </c>
      <c r="Z52" t="s">
        <v>11</v>
      </c>
      <c r="AA52" t="s">
        <v>11</v>
      </c>
      <c r="AB52" t="s">
        <v>11</v>
      </c>
      <c r="AC52" t="s">
        <v>11</v>
      </c>
      <c r="AD52" t="s">
        <v>80</v>
      </c>
      <c r="AE52" t="s">
        <v>81</v>
      </c>
      <c r="AF52" t="s">
        <v>11</v>
      </c>
      <c r="AG52" s="9" t="s">
        <v>11</v>
      </c>
      <c r="AH52" s="31" t="s">
        <v>700</v>
      </c>
      <c r="AI52" s="10" t="s">
        <v>18</v>
      </c>
      <c r="AJ52" s="11" t="s">
        <v>11</v>
      </c>
      <c r="AK52" s="11" t="s">
        <v>11</v>
      </c>
      <c r="AL52" t="s">
        <v>11</v>
      </c>
      <c r="AM52" s="9" t="s">
        <v>701</v>
      </c>
      <c r="AN52" s="10" t="s">
        <v>35</v>
      </c>
      <c r="AO52" t="s">
        <v>184</v>
      </c>
      <c r="AP52" t="s">
        <v>143</v>
      </c>
      <c r="AQ52" t="s">
        <v>35</v>
      </c>
      <c r="AR52" s="6" t="s">
        <v>702</v>
      </c>
      <c r="AS52" s="6" t="s">
        <v>703</v>
      </c>
      <c r="AT52" t="s">
        <v>35</v>
      </c>
      <c r="AU52"/>
      <c r="AV52" t="s">
        <v>1123</v>
      </c>
      <c r="AW52" s="40">
        <v>45727</v>
      </c>
      <c r="AX52" t="s">
        <v>35</v>
      </c>
      <c r="AY52" t="s">
        <v>1058</v>
      </c>
      <c r="AZ52" s="39" t="s">
        <v>1080</v>
      </c>
      <c r="BA52" s="39" t="s">
        <v>1081</v>
      </c>
      <c r="BB52" s="39" t="s">
        <v>1082</v>
      </c>
    </row>
    <row r="53" spans="1:54" ht="90.35" x14ac:dyDescent="0.25">
      <c r="A53" t="s">
        <v>704</v>
      </c>
      <c r="B53" s="6" t="s">
        <v>705</v>
      </c>
      <c r="C53" t="s">
        <v>706</v>
      </c>
      <c r="D53">
        <v>2013</v>
      </c>
      <c r="E53" t="s">
        <v>43</v>
      </c>
      <c r="F53" s="6" t="s">
        <v>44</v>
      </c>
      <c r="G53" s="6" t="s">
        <v>45</v>
      </c>
      <c r="H53" s="13" t="s">
        <v>707</v>
      </c>
      <c r="I53" t="s">
        <v>14</v>
      </c>
      <c r="J53" s="6" t="s">
        <v>971</v>
      </c>
      <c r="K53" s="6" t="s">
        <v>971</v>
      </c>
      <c r="L53" s="9" t="s">
        <v>118</v>
      </c>
      <c r="M53" t="s">
        <v>946</v>
      </c>
      <c r="N53" s="6" t="s">
        <v>633</v>
      </c>
      <c r="O53" s="6" t="s">
        <v>634</v>
      </c>
      <c r="P53">
        <v>2007</v>
      </c>
      <c r="Q53">
        <v>1</v>
      </c>
      <c r="R53" s="6" t="s">
        <v>245</v>
      </c>
      <c r="S53" t="s">
        <v>246</v>
      </c>
      <c r="T53" t="s">
        <v>152</v>
      </c>
      <c r="U53" t="s">
        <v>980</v>
      </c>
      <c r="V53" t="s">
        <v>955</v>
      </c>
      <c r="W53" t="s">
        <v>117</v>
      </c>
      <c r="X53" s="6" t="s">
        <v>13</v>
      </c>
      <c r="Y53" s="6">
        <v>100</v>
      </c>
      <c r="Z53" t="s">
        <v>11</v>
      </c>
      <c r="AA53" t="s">
        <v>11</v>
      </c>
      <c r="AB53" t="s">
        <v>708</v>
      </c>
      <c r="AC53" t="s">
        <v>11</v>
      </c>
      <c r="AD53" t="s">
        <v>80</v>
      </c>
      <c r="AE53" t="s">
        <v>81</v>
      </c>
      <c r="AF53" t="s">
        <v>11</v>
      </c>
      <c r="AG53" s="9" t="s">
        <v>11</v>
      </c>
      <c r="AH53"/>
      <c r="AI53" s="10" t="s">
        <v>18</v>
      </c>
      <c r="AJ53" s="11" t="s">
        <v>11</v>
      </c>
      <c r="AK53" s="11" t="s">
        <v>11</v>
      </c>
      <c r="AL53" t="s">
        <v>11</v>
      </c>
      <c r="AM53" s="9" t="s">
        <v>11</v>
      </c>
      <c r="AN53" s="10" t="s">
        <v>35</v>
      </c>
      <c r="AO53" t="s">
        <v>184</v>
      </c>
      <c r="AP53" t="s">
        <v>143</v>
      </c>
      <c r="AQ53" t="s">
        <v>18</v>
      </c>
      <c r="AR53" t="s">
        <v>11</v>
      </c>
      <c r="AS53" t="s">
        <v>11</v>
      </c>
      <c r="AT53" t="s">
        <v>35</v>
      </c>
      <c r="AU53"/>
      <c r="AV53" t="s">
        <v>1123</v>
      </c>
      <c r="AW53" s="40">
        <v>45727</v>
      </c>
      <c r="AX53" t="s">
        <v>35</v>
      </c>
      <c r="AY53" t="s">
        <v>1049</v>
      </c>
      <c r="AZ53" s="35" t="s">
        <v>709</v>
      </c>
      <c r="BA53" s="35" t="s">
        <v>710</v>
      </c>
      <c r="BB53" s="35" t="s">
        <v>711</v>
      </c>
    </row>
    <row r="54" spans="1:54" ht="156.9" x14ac:dyDescent="0.25">
      <c r="A54" t="s">
        <v>712</v>
      </c>
      <c r="B54" s="6" t="s">
        <v>713</v>
      </c>
      <c r="C54" t="s">
        <v>714</v>
      </c>
      <c r="D54">
        <v>2013</v>
      </c>
      <c r="E54" t="s">
        <v>715</v>
      </c>
      <c r="F54" s="6" t="s">
        <v>226</v>
      </c>
      <c r="G54" s="6" t="s">
        <v>90</v>
      </c>
      <c r="H54" s="13" t="s">
        <v>716</v>
      </c>
      <c r="I54" t="s">
        <v>14</v>
      </c>
      <c r="J54" s="6" t="s">
        <v>971</v>
      </c>
      <c r="K54" s="6" t="s">
        <v>971</v>
      </c>
      <c r="L54" s="9" t="s">
        <v>118</v>
      </c>
      <c r="M54" t="s">
        <v>946</v>
      </c>
      <c r="N54" s="6" t="s">
        <v>652</v>
      </c>
      <c r="O54" s="6" t="s">
        <v>7</v>
      </c>
      <c r="P54">
        <v>2006</v>
      </c>
      <c r="Q54">
        <v>1</v>
      </c>
      <c r="R54" s="6" t="s">
        <v>245</v>
      </c>
      <c r="S54" t="s">
        <v>246</v>
      </c>
      <c r="T54" t="s">
        <v>152</v>
      </c>
      <c r="U54" t="s">
        <v>980</v>
      </c>
      <c r="V54" t="s">
        <v>955</v>
      </c>
      <c r="W54" t="s">
        <v>12</v>
      </c>
      <c r="X54" s="6" t="s">
        <v>13</v>
      </c>
      <c r="Y54" s="6">
        <v>29</v>
      </c>
      <c r="Z54" t="s">
        <v>11</v>
      </c>
      <c r="AA54" t="s">
        <v>11</v>
      </c>
      <c r="AB54" t="s">
        <v>717</v>
      </c>
      <c r="AC54" t="s">
        <v>11</v>
      </c>
      <c r="AD54" t="s">
        <v>80</v>
      </c>
      <c r="AE54" t="s">
        <v>81</v>
      </c>
      <c r="AF54" t="s">
        <v>11</v>
      </c>
      <c r="AG54" s="9" t="s">
        <v>11</v>
      </c>
      <c r="AH54"/>
      <c r="AI54" s="10" t="s">
        <v>18</v>
      </c>
      <c r="AJ54" s="11" t="s">
        <v>11</v>
      </c>
      <c r="AK54" s="11" t="s">
        <v>11</v>
      </c>
      <c r="AL54" t="s">
        <v>11</v>
      </c>
      <c r="AM54" t="s">
        <v>718</v>
      </c>
      <c r="AN54" s="10" t="s">
        <v>35</v>
      </c>
      <c r="AO54" t="s">
        <v>184</v>
      </c>
      <c r="AP54" t="s">
        <v>143</v>
      </c>
      <c r="AQ54" t="s">
        <v>35</v>
      </c>
      <c r="AR54" s="6" t="s">
        <v>719</v>
      </c>
      <c r="AS54" s="6" t="s">
        <v>720</v>
      </c>
      <c r="AT54" t="s">
        <v>35</v>
      </c>
      <c r="AU54"/>
      <c r="AV54" t="s">
        <v>1123</v>
      </c>
      <c r="AW54" s="40">
        <v>45727</v>
      </c>
      <c r="AX54" t="s">
        <v>35</v>
      </c>
      <c r="AY54" t="s">
        <v>1049</v>
      </c>
      <c r="AZ54" s="35" t="s">
        <v>721</v>
      </c>
      <c r="BA54" s="39" t="s">
        <v>1083</v>
      </c>
      <c r="BB54" s="39" t="s">
        <v>1084</v>
      </c>
    </row>
    <row r="55" spans="1:54" ht="129.1" x14ac:dyDescent="0.25">
      <c r="A55" t="s">
        <v>722</v>
      </c>
      <c r="B55" s="6" t="s">
        <v>723</v>
      </c>
      <c r="C55" t="s">
        <v>724</v>
      </c>
      <c r="D55">
        <v>2013</v>
      </c>
      <c r="E55" t="s">
        <v>604</v>
      </c>
      <c r="F55" s="6" t="s">
        <v>605</v>
      </c>
      <c r="G55" s="6" t="s">
        <v>45</v>
      </c>
      <c r="H55" s="13" t="s">
        <v>725</v>
      </c>
      <c r="I55" t="s">
        <v>14</v>
      </c>
      <c r="J55" s="6" t="s">
        <v>971</v>
      </c>
      <c r="K55" s="6" t="s">
        <v>971</v>
      </c>
      <c r="L55" s="9" t="s">
        <v>118</v>
      </c>
      <c r="M55" t="s">
        <v>946</v>
      </c>
      <c r="N55" s="6" t="s">
        <v>633</v>
      </c>
      <c r="O55" s="6" t="s">
        <v>634</v>
      </c>
      <c r="P55">
        <v>2006</v>
      </c>
      <c r="Q55">
        <v>2</v>
      </c>
      <c r="R55" t="s">
        <v>726</v>
      </c>
      <c r="S55" t="s">
        <v>727</v>
      </c>
      <c r="T55" t="s">
        <v>152</v>
      </c>
      <c r="U55" t="s">
        <v>980</v>
      </c>
      <c r="V55" t="s">
        <v>116</v>
      </c>
      <c r="W55" t="s">
        <v>12</v>
      </c>
      <c r="X55" s="6" t="s">
        <v>13</v>
      </c>
      <c r="Y55" s="6">
        <v>29</v>
      </c>
      <c r="Z55" t="s">
        <v>11</v>
      </c>
      <c r="AA55" t="s">
        <v>11</v>
      </c>
      <c r="AC55" t="s">
        <v>11</v>
      </c>
      <c r="AD55" t="s">
        <v>80</v>
      </c>
      <c r="AE55" t="s">
        <v>81</v>
      </c>
      <c r="AF55" t="s">
        <v>11</v>
      </c>
      <c r="AG55" s="9" t="s">
        <v>11</v>
      </c>
      <c r="AH55"/>
      <c r="AI55" s="10" t="s">
        <v>18</v>
      </c>
      <c r="AJ55" s="11" t="s">
        <v>11</v>
      </c>
      <c r="AK55" s="11" t="s">
        <v>11</v>
      </c>
      <c r="AL55"/>
      <c r="AM55"/>
      <c r="AN55" s="10" t="s">
        <v>35</v>
      </c>
      <c r="AO55" t="s">
        <v>184</v>
      </c>
      <c r="AP55" t="s">
        <v>728</v>
      </c>
      <c r="AQ55" t="s">
        <v>18</v>
      </c>
      <c r="AR55" t="s">
        <v>11</v>
      </c>
      <c r="AS55" t="s">
        <v>11</v>
      </c>
      <c r="AT55" t="s">
        <v>18</v>
      </c>
      <c r="AU55"/>
      <c r="AV55" t="s">
        <v>1123</v>
      </c>
      <c r="AW55" s="40">
        <v>45727</v>
      </c>
      <c r="AX55" t="s">
        <v>35</v>
      </c>
      <c r="AY55" t="s">
        <v>1049</v>
      </c>
      <c r="AZ55" s="35" t="s">
        <v>729</v>
      </c>
      <c r="BA55" s="35" t="s">
        <v>730</v>
      </c>
      <c r="BB55" s="39" t="s">
        <v>731</v>
      </c>
    </row>
    <row r="56" spans="1:54" ht="185.45" x14ac:dyDescent="0.25">
      <c r="A56" t="s">
        <v>732</v>
      </c>
      <c r="B56" s="6" t="s">
        <v>733</v>
      </c>
      <c r="C56" t="s">
        <v>734</v>
      </c>
      <c r="D56">
        <v>2013</v>
      </c>
      <c r="E56" t="s">
        <v>192</v>
      </c>
      <c r="F56" s="6" t="s">
        <v>193</v>
      </c>
      <c r="G56" s="6" t="s">
        <v>45</v>
      </c>
      <c r="H56" s="13" t="s">
        <v>735</v>
      </c>
      <c r="I56" t="s">
        <v>14</v>
      </c>
      <c r="J56" s="6" t="s">
        <v>971</v>
      </c>
      <c r="K56" s="6" t="s">
        <v>971</v>
      </c>
      <c r="L56" s="9" t="s">
        <v>118</v>
      </c>
      <c r="M56" t="s">
        <v>946</v>
      </c>
      <c r="N56" s="6" t="s">
        <v>633</v>
      </c>
      <c r="O56" s="6" t="s">
        <v>634</v>
      </c>
      <c r="P56" t="s">
        <v>736</v>
      </c>
      <c r="Q56">
        <v>1</v>
      </c>
      <c r="R56" s="6" t="s">
        <v>245</v>
      </c>
      <c r="S56" t="s">
        <v>246</v>
      </c>
      <c r="T56" t="s">
        <v>152</v>
      </c>
      <c r="U56" t="s">
        <v>980</v>
      </c>
      <c r="V56" t="s">
        <v>955</v>
      </c>
      <c r="W56" t="s">
        <v>117</v>
      </c>
      <c r="X56" s="6" t="s">
        <v>13</v>
      </c>
      <c r="Y56" s="6">
        <v>100</v>
      </c>
      <c r="Z56" t="s">
        <v>11</v>
      </c>
      <c r="AA56" t="s">
        <v>11</v>
      </c>
      <c r="AB56" t="s">
        <v>11</v>
      </c>
      <c r="AC56" t="s">
        <v>11</v>
      </c>
      <c r="AD56" t="s">
        <v>80</v>
      </c>
      <c r="AE56" t="s">
        <v>81</v>
      </c>
      <c r="AF56" t="s">
        <v>11</v>
      </c>
      <c r="AG56" s="9" t="s">
        <v>11</v>
      </c>
      <c r="AH56"/>
      <c r="AI56" s="10" t="s">
        <v>18</v>
      </c>
      <c r="AJ56" s="11" t="s">
        <v>11</v>
      </c>
      <c r="AK56" s="11" t="s">
        <v>11</v>
      </c>
      <c r="AL56" t="s">
        <v>11</v>
      </c>
      <c r="AM56" t="s">
        <v>11</v>
      </c>
      <c r="AN56" s="10" t="s">
        <v>35</v>
      </c>
      <c r="AO56" t="s">
        <v>184</v>
      </c>
      <c r="AP56" t="s">
        <v>143</v>
      </c>
      <c r="AQ56" t="s">
        <v>35</v>
      </c>
      <c r="AR56" s="6" t="s">
        <v>737</v>
      </c>
      <c r="AS56" s="6" t="s">
        <v>738</v>
      </c>
      <c r="AT56" t="s">
        <v>35</v>
      </c>
      <c r="AU56"/>
      <c r="AV56" t="s">
        <v>1123</v>
      </c>
      <c r="AW56" s="40">
        <v>45727</v>
      </c>
      <c r="AX56" t="s">
        <v>35</v>
      </c>
      <c r="AY56" t="s">
        <v>1052</v>
      </c>
      <c r="AZ56" s="39" t="s">
        <v>1085</v>
      </c>
      <c r="BA56" s="39" t="s">
        <v>1086</v>
      </c>
      <c r="BB56" s="39" t="s">
        <v>1087</v>
      </c>
    </row>
    <row r="57" spans="1:54" ht="242.5" x14ac:dyDescent="0.25">
      <c r="A57" t="s">
        <v>739</v>
      </c>
      <c r="B57" s="6" t="s">
        <v>740</v>
      </c>
      <c r="C57" t="s">
        <v>741</v>
      </c>
      <c r="D57">
        <v>2016</v>
      </c>
      <c r="E57" t="s">
        <v>742</v>
      </c>
      <c r="F57" s="6" t="s">
        <v>552</v>
      </c>
      <c r="G57" s="6" t="s">
        <v>45</v>
      </c>
      <c r="H57" s="13" t="s">
        <v>743</v>
      </c>
      <c r="I57" t="s">
        <v>14</v>
      </c>
      <c r="J57" s="6" t="s">
        <v>971</v>
      </c>
      <c r="K57" s="6" t="s">
        <v>971</v>
      </c>
      <c r="L57" s="9" t="s">
        <v>118</v>
      </c>
      <c r="M57" t="s">
        <v>946</v>
      </c>
      <c r="N57" s="6" t="s">
        <v>633</v>
      </c>
      <c r="O57" s="6" t="s">
        <v>7</v>
      </c>
      <c r="P57">
        <v>2011</v>
      </c>
      <c r="Q57">
        <v>2</v>
      </c>
      <c r="R57" s="6" t="s">
        <v>245</v>
      </c>
      <c r="S57" t="s">
        <v>246</v>
      </c>
      <c r="T57" t="s">
        <v>152</v>
      </c>
      <c r="U57" t="s">
        <v>980</v>
      </c>
      <c r="V57" t="s">
        <v>116</v>
      </c>
      <c r="W57" t="s">
        <v>117</v>
      </c>
      <c r="X57" t="s">
        <v>13</v>
      </c>
      <c r="Y57">
        <v>102</v>
      </c>
      <c r="Z57" t="s">
        <v>11</v>
      </c>
      <c r="AA57" t="s">
        <v>11</v>
      </c>
      <c r="AB57" t="s">
        <v>11</v>
      </c>
      <c r="AC57" t="s">
        <v>11</v>
      </c>
      <c r="AD57" t="s">
        <v>80</v>
      </c>
      <c r="AE57" t="s">
        <v>81</v>
      </c>
      <c r="AF57" t="s">
        <v>11</v>
      </c>
      <c r="AG57" s="9" t="s">
        <v>11</v>
      </c>
      <c r="AH57"/>
      <c r="AI57" s="10" t="s">
        <v>18</v>
      </c>
      <c r="AJ57" s="11" t="s">
        <v>11</v>
      </c>
      <c r="AK57" s="11" t="s">
        <v>11</v>
      </c>
      <c r="AL57" t="s">
        <v>11</v>
      </c>
      <c r="AM57" t="s">
        <v>11</v>
      </c>
      <c r="AN57" s="10" t="s">
        <v>35</v>
      </c>
      <c r="AO57" t="s">
        <v>184</v>
      </c>
      <c r="AP57" t="s">
        <v>357</v>
      </c>
      <c r="AQ57" t="s">
        <v>35</v>
      </c>
      <c r="AR57" s="6" t="s">
        <v>744</v>
      </c>
      <c r="AS57" s="6" t="s">
        <v>745</v>
      </c>
      <c r="AT57" t="s">
        <v>35</v>
      </c>
      <c r="AU57"/>
      <c r="AV57" t="s">
        <v>1123</v>
      </c>
      <c r="AW57" s="40">
        <v>45727</v>
      </c>
      <c r="AX57" t="s">
        <v>35</v>
      </c>
      <c r="AY57" t="s">
        <v>1053</v>
      </c>
      <c r="AZ57" s="35" t="s">
        <v>746</v>
      </c>
      <c r="BA57" s="39" t="s">
        <v>1088</v>
      </c>
      <c r="BB57" s="35">
        <v>0</v>
      </c>
    </row>
    <row r="58" spans="1:54" ht="99.85" x14ac:dyDescent="0.25">
      <c r="A58" t="s">
        <v>424</v>
      </c>
      <c r="B58" s="6" t="s">
        <v>425</v>
      </c>
      <c r="C58" t="s">
        <v>426</v>
      </c>
      <c r="D58">
        <v>2012</v>
      </c>
      <c r="E58" t="s">
        <v>427</v>
      </c>
      <c r="F58" s="6" t="s">
        <v>29</v>
      </c>
      <c r="G58" s="6" t="s">
        <v>30</v>
      </c>
      <c r="H58" s="13" t="s">
        <v>428</v>
      </c>
      <c r="I58" t="s">
        <v>14</v>
      </c>
      <c r="J58" t="s">
        <v>418</v>
      </c>
      <c r="K58" t="s">
        <v>418</v>
      </c>
      <c r="L58" s="9" t="s">
        <v>15</v>
      </c>
      <c r="M58" t="s">
        <v>945</v>
      </c>
      <c r="N58" s="6" t="s">
        <v>429</v>
      </c>
      <c r="O58" s="6" t="s">
        <v>7</v>
      </c>
      <c r="P58">
        <v>2003</v>
      </c>
      <c r="Q58">
        <v>1</v>
      </c>
      <c r="R58" t="s">
        <v>430</v>
      </c>
      <c r="S58" t="s">
        <v>246</v>
      </c>
      <c r="T58" t="s">
        <v>10</v>
      </c>
      <c r="V58" t="s">
        <v>11</v>
      </c>
      <c r="W58" t="s">
        <v>12</v>
      </c>
      <c r="X58" s="6" t="s">
        <v>13</v>
      </c>
      <c r="Y58" s="6">
        <v>91</v>
      </c>
      <c r="Z58" t="s">
        <v>11</v>
      </c>
      <c r="AA58">
        <v>13178</v>
      </c>
      <c r="AC58" t="s">
        <v>11</v>
      </c>
      <c r="AD58" t="s">
        <v>80</v>
      </c>
      <c r="AE58" t="s">
        <v>81</v>
      </c>
      <c r="AF58" t="s">
        <v>11</v>
      </c>
      <c r="AG58" s="9" t="s">
        <v>11</v>
      </c>
      <c r="AH58"/>
      <c r="AI58" s="10" t="s">
        <v>18</v>
      </c>
      <c r="AJ58" s="11" t="s">
        <v>431</v>
      </c>
      <c r="AK58" s="11" t="s">
        <v>432</v>
      </c>
      <c r="AL58" t="s">
        <v>433</v>
      </c>
      <c r="AM58" s="9" t="s">
        <v>11</v>
      </c>
      <c r="AN58" s="10" t="s">
        <v>18</v>
      </c>
      <c r="AO58" t="s">
        <v>11</v>
      </c>
      <c r="AP58" t="s">
        <v>11</v>
      </c>
      <c r="AQ58" t="s">
        <v>11</v>
      </c>
      <c r="AR58" t="s">
        <v>11</v>
      </c>
      <c r="AS58" t="s">
        <v>11</v>
      </c>
      <c r="AT58" t="s">
        <v>11</v>
      </c>
      <c r="AU58"/>
      <c r="AV58" t="s">
        <v>1123</v>
      </c>
      <c r="AW58" s="40">
        <v>45726</v>
      </c>
      <c r="AX58" t="s">
        <v>35</v>
      </c>
      <c r="AY58" t="s">
        <v>1054</v>
      </c>
      <c r="AZ58" s="38" t="s">
        <v>434</v>
      </c>
      <c r="BA58" s="38" t="s">
        <v>435</v>
      </c>
      <c r="BB58" s="38" t="s">
        <v>436</v>
      </c>
    </row>
    <row r="59" spans="1:54" ht="57.1" x14ac:dyDescent="0.25">
      <c r="A59" t="s">
        <v>40</v>
      </c>
      <c r="B59" s="6" t="s">
        <v>41</v>
      </c>
      <c r="C59" t="s">
        <v>42</v>
      </c>
      <c r="D59">
        <v>2014</v>
      </c>
      <c r="E59" t="s">
        <v>43</v>
      </c>
      <c r="F59" s="6" t="s">
        <v>44</v>
      </c>
      <c r="G59" s="6" t="s">
        <v>45</v>
      </c>
      <c r="H59" s="13" t="s">
        <v>46</v>
      </c>
      <c r="I59" t="s">
        <v>14</v>
      </c>
      <c r="J59" s="6" t="s">
        <v>975</v>
      </c>
      <c r="K59" s="6" t="s">
        <v>975</v>
      </c>
      <c r="L59" s="9" t="s">
        <v>15</v>
      </c>
      <c r="M59" t="s">
        <v>945</v>
      </c>
      <c r="N59" s="6" t="s">
        <v>6</v>
      </c>
      <c r="O59" s="6" t="s">
        <v>7</v>
      </c>
      <c r="P59">
        <v>2005</v>
      </c>
      <c r="Q59">
        <v>4</v>
      </c>
      <c r="R59" s="6" t="s">
        <v>32</v>
      </c>
      <c r="S59" s="6" t="s">
        <v>9</v>
      </c>
      <c r="T59" t="s">
        <v>10</v>
      </c>
      <c r="V59" t="s">
        <v>11</v>
      </c>
      <c r="W59" t="s">
        <v>12</v>
      </c>
      <c r="X59" s="6" t="s">
        <v>13</v>
      </c>
      <c r="Y59" s="6">
        <v>35</v>
      </c>
      <c r="Z59" t="s">
        <v>11</v>
      </c>
      <c r="AA59">
        <v>3461</v>
      </c>
      <c r="AC59" t="s">
        <v>11</v>
      </c>
      <c r="AD59" t="s">
        <v>80</v>
      </c>
      <c r="AE59" t="s">
        <v>81</v>
      </c>
      <c r="AF59" t="s">
        <v>11</v>
      </c>
      <c r="AG59" s="9" t="s">
        <v>11</v>
      </c>
      <c r="AH59" t="s">
        <v>47</v>
      </c>
      <c r="AI59" s="10" t="s">
        <v>18</v>
      </c>
      <c r="AJ59" s="11" t="s">
        <v>48</v>
      </c>
      <c r="AK59" s="11" t="s">
        <v>49</v>
      </c>
      <c r="AL59"/>
      <c r="AM59" s="9"/>
      <c r="AN59" s="10" t="s">
        <v>18</v>
      </c>
      <c r="AO59" t="s">
        <v>11</v>
      </c>
      <c r="AP59" t="s">
        <v>11</v>
      </c>
      <c r="AQ59" t="s">
        <v>11</v>
      </c>
      <c r="AR59" t="s">
        <v>11</v>
      </c>
      <c r="AS59" t="s">
        <v>11</v>
      </c>
      <c r="AT59" t="s">
        <v>11</v>
      </c>
      <c r="AU59"/>
      <c r="AV59" t="s">
        <v>1123</v>
      </c>
      <c r="AW59" s="40">
        <v>45715</v>
      </c>
      <c r="AX59" t="s">
        <v>35</v>
      </c>
      <c r="AY59" t="s">
        <v>1049</v>
      </c>
      <c r="AZ59" s="38" t="s">
        <v>1117</v>
      </c>
      <c r="BA59" s="38" t="s">
        <v>1118</v>
      </c>
      <c r="BB59" s="38" t="s">
        <v>1119</v>
      </c>
    </row>
    <row r="60" spans="1:54" ht="133.85" customHeight="1" x14ac:dyDescent="0.25">
      <c r="A60" t="s">
        <v>765</v>
      </c>
      <c r="B60" s="6" t="s">
        <v>766</v>
      </c>
      <c r="C60" t="s">
        <v>767</v>
      </c>
      <c r="D60">
        <v>2019</v>
      </c>
      <c r="E60" t="s">
        <v>768</v>
      </c>
      <c r="F60" s="6" t="s">
        <v>769</v>
      </c>
      <c r="G60" s="6" t="s">
        <v>242</v>
      </c>
      <c r="H60" s="13" t="s">
        <v>770</v>
      </c>
      <c r="I60" t="s">
        <v>14</v>
      </c>
      <c r="J60" t="s">
        <v>920</v>
      </c>
      <c r="K60" t="s">
        <v>920</v>
      </c>
      <c r="L60" s="9" t="s">
        <v>138</v>
      </c>
      <c r="M60" t="s">
        <v>945</v>
      </c>
      <c r="N60" s="6" t="s">
        <v>132</v>
      </c>
      <c r="O60" s="6" t="s">
        <v>7</v>
      </c>
      <c r="P60">
        <v>2010</v>
      </c>
      <c r="Q60">
        <v>7</v>
      </c>
      <c r="R60" s="6" t="s">
        <v>245</v>
      </c>
      <c r="S60" t="s">
        <v>246</v>
      </c>
      <c r="T60" t="s">
        <v>10</v>
      </c>
      <c r="V60" t="s">
        <v>11</v>
      </c>
      <c r="W60" t="s">
        <v>12</v>
      </c>
      <c r="X60" s="6" t="s">
        <v>13</v>
      </c>
      <c r="Y60" s="6">
        <v>134</v>
      </c>
      <c r="Z60" t="s">
        <v>11</v>
      </c>
      <c r="AA60" t="s">
        <v>11</v>
      </c>
      <c r="AB60" s="16" t="s">
        <v>771</v>
      </c>
      <c r="AC60">
        <f>706827+845666</f>
        <v>1552493</v>
      </c>
      <c r="AD60" t="s">
        <v>80</v>
      </c>
      <c r="AE60" t="s">
        <v>81</v>
      </c>
      <c r="AF60" t="s">
        <v>11</v>
      </c>
      <c r="AG60" s="9" t="s">
        <v>11</v>
      </c>
      <c r="AH60"/>
      <c r="AI60" s="10" t="s">
        <v>18</v>
      </c>
      <c r="AJ60" s="11" t="s">
        <v>772</v>
      </c>
      <c r="AK60" s="11" t="s">
        <v>773</v>
      </c>
      <c r="AL60"/>
      <c r="AM60" s="9"/>
      <c r="AN60" s="10" t="s">
        <v>18</v>
      </c>
      <c r="AO60" t="s">
        <v>11</v>
      </c>
      <c r="AP60" t="s">
        <v>11</v>
      </c>
      <c r="AQ60" t="s">
        <v>11</v>
      </c>
      <c r="AR60" t="s">
        <v>11</v>
      </c>
      <c r="AS60" t="s">
        <v>11</v>
      </c>
      <c r="AT60" t="s">
        <v>11</v>
      </c>
      <c r="AU60"/>
      <c r="AV60" t="s">
        <v>1123</v>
      </c>
      <c r="AW60" s="40">
        <v>45770</v>
      </c>
      <c r="AX60" t="s">
        <v>35</v>
      </c>
      <c r="AY60" t="s">
        <v>1049</v>
      </c>
      <c r="AZ60" s="12" t="s">
        <v>774</v>
      </c>
      <c r="BA60" s="12" t="s">
        <v>775</v>
      </c>
      <c r="BB60" s="12">
        <v>0</v>
      </c>
    </row>
    <row r="61" spans="1:54" ht="114.65" customHeight="1" x14ac:dyDescent="0.25">
      <c r="A61" t="s">
        <v>50</v>
      </c>
      <c r="B61" s="6" t="s">
        <v>51</v>
      </c>
      <c r="C61" t="s">
        <v>52</v>
      </c>
      <c r="D61">
        <v>2011</v>
      </c>
      <c r="E61" t="s">
        <v>53</v>
      </c>
      <c r="F61" s="6" t="s">
        <v>54</v>
      </c>
      <c r="G61" s="6" t="s">
        <v>4</v>
      </c>
      <c r="H61" s="13" t="s">
        <v>55</v>
      </c>
      <c r="I61" t="s">
        <v>14</v>
      </c>
      <c r="J61" s="6" t="s">
        <v>975</v>
      </c>
      <c r="K61" s="6" t="s">
        <v>975</v>
      </c>
      <c r="L61" s="9" t="s">
        <v>15</v>
      </c>
      <c r="M61" t="s">
        <v>945</v>
      </c>
      <c r="N61" s="11" t="s">
        <v>6</v>
      </c>
      <c r="O61" s="6" t="s">
        <v>7</v>
      </c>
      <c r="P61">
        <v>2003</v>
      </c>
      <c r="Q61">
        <v>5</v>
      </c>
      <c r="R61" s="6" t="s">
        <v>32</v>
      </c>
      <c r="S61" s="6" t="s">
        <v>9</v>
      </c>
      <c r="T61" t="s">
        <v>10</v>
      </c>
      <c r="V61" t="s">
        <v>11</v>
      </c>
      <c r="W61" t="s">
        <v>12</v>
      </c>
      <c r="X61" s="6" t="s">
        <v>13</v>
      </c>
      <c r="Y61" s="6">
        <v>35</v>
      </c>
      <c r="Z61" t="s">
        <v>11</v>
      </c>
      <c r="AA61" t="s">
        <v>11</v>
      </c>
      <c r="AC61" t="s">
        <v>11</v>
      </c>
      <c r="AD61" t="s">
        <v>16</v>
      </c>
      <c r="AE61" t="s">
        <v>11</v>
      </c>
      <c r="AF61" t="s">
        <v>11</v>
      </c>
      <c r="AG61" s="9" t="s">
        <v>17</v>
      </c>
      <c r="AH61" t="s">
        <v>56</v>
      </c>
      <c r="AI61" s="10" t="s">
        <v>18</v>
      </c>
      <c r="AJ61" s="11" t="s">
        <v>57</v>
      </c>
      <c r="AK61" s="11" t="s">
        <v>58</v>
      </c>
      <c r="AL61" t="s">
        <v>59</v>
      </c>
      <c r="AM61" s="9" t="s">
        <v>11</v>
      </c>
      <c r="AN61" s="10" t="s">
        <v>18</v>
      </c>
      <c r="AO61" t="s">
        <v>11</v>
      </c>
      <c r="AP61" t="s">
        <v>11</v>
      </c>
      <c r="AQ61" t="s">
        <v>11</v>
      </c>
      <c r="AR61" t="s">
        <v>11</v>
      </c>
      <c r="AS61" t="s">
        <v>11</v>
      </c>
      <c r="AT61" t="s">
        <v>11</v>
      </c>
      <c r="AU61"/>
      <c r="AV61" t="s">
        <v>1123</v>
      </c>
      <c r="AW61" s="40">
        <v>45715</v>
      </c>
      <c r="AX61" t="s">
        <v>35</v>
      </c>
      <c r="AY61" t="s">
        <v>1059</v>
      </c>
      <c r="AZ61" s="38" t="s">
        <v>1114</v>
      </c>
      <c r="BA61" s="38" t="s">
        <v>1115</v>
      </c>
      <c r="BB61" s="38" t="s">
        <v>1116</v>
      </c>
    </row>
    <row r="62" spans="1:54" ht="42.8" x14ac:dyDescent="0.25">
      <c r="A62" t="s">
        <v>60</v>
      </c>
      <c r="B62" s="6" t="s">
        <v>61</v>
      </c>
      <c r="C62" t="s">
        <v>62</v>
      </c>
      <c r="D62">
        <v>2012</v>
      </c>
      <c r="E62" t="s">
        <v>4</v>
      </c>
      <c r="F62" s="6" t="s">
        <v>54</v>
      </c>
      <c r="G62" s="6" t="s">
        <v>4</v>
      </c>
      <c r="H62" s="9" t="s">
        <v>63</v>
      </c>
      <c r="I62" t="s">
        <v>14</v>
      </c>
      <c r="J62" s="6" t="s">
        <v>975</v>
      </c>
      <c r="K62" s="6" t="s">
        <v>975</v>
      </c>
      <c r="L62" s="9" t="s">
        <v>15</v>
      </c>
      <c r="M62" t="s">
        <v>945</v>
      </c>
      <c r="N62" s="6" t="s">
        <v>6</v>
      </c>
      <c r="O62" s="6" t="s">
        <v>7</v>
      </c>
      <c r="P62">
        <v>2003</v>
      </c>
      <c r="Q62">
        <v>5</v>
      </c>
      <c r="R62" s="6" t="s">
        <v>32</v>
      </c>
      <c r="S62" s="6" t="s">
        <v>9</v>
      </c>
      <c r="T62" t="s">
        <v>10</v>
      </c>
      <c r="V62" t="s">
        <v>11</v>
      </c>
      <c r="W62" t="s">
        <v>12</v>
      </c>
      <c r="X62" s="6" t="s">
        <v>13</v>
      </c>
      <c r="Y62" s="6">
        <v>35</v>
      </c>
      <c r="Z62" t="s">
        <v>11</v>
      </c>
      <c r="AA62" t="s">
        <v>11</v>
      </c>
      <c r="AC62" t="s">
        <v>11</v>
      </c>
      <c r="AD62" t="s">
        <v>16</v>
      </c>
      <c r="AE62" t="s">
        <v>11</v>
      </c>
      <c r="AF62" t="s">
        <v>11</v>
      </c>
      <c r="AG62" s="9" t="s">
        <v>17</v>
      </c>
      <c r="AH62"/>
      <c r="AI62" s="10" t="s">
        <v>18</v>
      </c>
      <c r="AJ62" s="11" t="s">
        <v>64</v>
      </c>
      <c r="AK62" s="11" t="s">
        <v>65</v>
      </c>
      <c r="AL62" t="s">
        <v>66</v>
      </c>
      <c r="AM62" s="19" t="s">
        <v>67</v>
      </c>
      <c r="AN62" s="10" t="s">
        <v>18</v>
      </c>
      <c r="AO62" t="s">
        <v>11</v>
      </c>
      <c r="AP62" t="s">
        <v>11</v>
      </c>
      <c r="AQ62" t="s">
        <v>11</v>
      </c>
      <c r="AR62" t="s">
        <v>11</v>
      </c>
      <c r="AS62" t="s">
        <v>11</v>
      </c>
      <c r="AT62" t="s">
        <v>11</v>
      </c>
      <c r="AU62"/>
      <c r="AV62" t="s">
        <v>1123</v>
      </c>
      <c r="AW62" s="40">
        <v>45715</v>
      </c>
      <c r="AX62" t="s">
        <v>35</v>
      </c>
      <c r="AY62" t="s">
        <v>1055</v>
      </c>
      <c r="AZ62" s="38" t="s">
        <v>1111</v>
      </c>
      <c r="BA62" s="38" t="s">
        <v>1112</v>
      </c>
      <c r="BB62" s="38" t="s">
        <v>1113</v>
      </c>
    </row>
    <row r="63" spans="1:54" ht="42.8" x14ac:dyDescent="0.25">
      <c r="A63" t="s">
        <v>68</v>
      </c>
      <c r="B63" s="6" t="s">
        <v>69</v>
      </c>
      <c r="C63" t="s">
        <v>52</v>
      </c>
      <c r="D63">
        <v>2013</v>
      </c>
      <c r="E63" t="s">
        <v>53</v>
      </c>
      <c r="F63" s="6" t="s">
        <v>54</v>
      </c>
      <c r="G63" s="6" t="s">
        <v>4</v>
      </c>
      <c r="H63" s="9" t="s">
        <v>70</v>
      </c>
      <c r="I63" t="s">
        <v>14</v>
      </c>
      <c r="J63" s="6" t="s">
        <v>975</v>
      </c>
      <c r="K63" s="6" t="s">
        <v>975</v>
      </c>
      <c r="L63" s="9" t="s">
        <v>15</v>
      </c>
      <c r="M63" t="s">
        <v>945</v>
      </c>
      <c r="N63" s="6" t="s">
        <v>6</v>
      </c>
      <c r="O63" s="6" t="s">
        <v>7</v>
      </c>
      <c r="P63">
        <v>2003</v>
      </c>
      <c r="Q63">
        <v>5</v>
      </c>
      <c r="R63" s="6" t="s">
        <v>32</v>
      </c>
      <c r="S63" s="6" t="s">
        <v>9</v>
      </c>
      <c r="T63" t="s">
        <v>10</v>
      </c>
      <c r="V63" t="s">
        <v>11</v>
      </c>
      <c r="W63" t="s">
        <v>12</v>
      </c>
      <c r="X63" s="6" t="s">
        <v>13</v>
      </c>
      <c r="Y63" s="6">
        <v>35</v>
      </c>
      <c r="Z63" t="s">
        <v>11</v>
      </c>
      <c r="AA63" t="s">
        <v>11</v>
      </c>
      <c r="AC63" t="s">
        <v>11</v>
      </c>
      <c r="AD63" t="s">
        <v>16</v>
      </c>
      <c r="AE63" t="s">
        <v>11</v>
      </c>
      <c r="AF63" t="s">
        <v>11</v>
      </c>
      <c r="AG63" s="9" t="s">
        <v>17</v>
      </c>
      <c r="AH63"/>
      <c r="AI63" s="10" t="s">
        <v>18</v>
      </c>
      <c r="AJ63" s="11" t="s">
        <v>64</v>
      </c>
      <c r="AK63" s="11" t="s">
        <v>64</v>
      </c>
      <c r="AL63" t="s">
        <v>71</v>
      </c>
      <c r="AM63" s="19" t="s">
        <v>72</v>
      </c>
      <c r="AN63" s="10" t="s">
        <v>18</v>
      </c>
      <c r="AO63" t="s">
        <v>11</v>
      </c>
      <c r="AP63" t="s">
        <v>11</v>
      </c>
      <c r="AQ63" t="s">
        <v>11</v>
      </c>
      <c r="AR63" t="s">
        <v>11</v>
      </c>
      <c r="AS63" t="s">
        <v>11</v>
      </c>
      <c r="AT63" t="s">
        <v>11</v>
      </c>
      <c r="AU63"/>
      <c r="AV63" t="s">
        <v>1123</v>
      </c>
      <c r="AW63" s="40">
        <v>45715</v>
      </c>
      <c r="AX63" t="s">
        <v>35</v>
      </c>
      <c r="AY63" s="9" t="s">
        <v>1055</v>
      </c>
      <c r="AZ63" s="38" t="s">
        <v>1108</v>
      </c>
      <c r="BA63" s="38" t="s">
        <v>1109</v>
      </c>
      <c r="BB63" s="38" t="s">
        <v>1110</v>
      </c>
    </row>
    <row r="64" spans="1:54" ht="42.8" x14ac:dyDescent="0.25">
      <c r="A64" t="s">
        <v>73</v>
      </c>
      <c r="B64" s="6" t="s">
        <v>74</v>
      </c>
      <c r="C64" t="s">
        <v>75</v>
      </c>
      <c r="D64">
        <v>2015</v>
      </c>
      <c r="E64" t="s">
        <v>76</v>
      </c>
      <c r="F64" s="6" t="s">
        <v>77</v>
      </c>
      <c r="G64" s="6" t="s">
        <v>30</v>
      </c>
      <c r="H64" s="9" t="s">
        <v>78</v>
      </c>
      <c r="I64" t="s">
        <v>14</v>
      </c>
      <c r="J64" s="6" t="s">
        <v>975</v>
      </c>
      <c r="K64" s="6" t="s">
        <v>975</v>
      </c>
      <c r="L64" s="9" t="s">
        <v>15</v>
      </c>
      <c r="M64" t="s">
        <v>945</v>
      </c>
      <c r="N64" s="6" t="s">
        <v>6</v>
      </c>
      <c r="O64" s="6" t="s">
        <v>7</v>
      </c>
      <c r="P64">
        <v>2005</v>
      </c>
      <c r="Q64">
        <v>1</v>
      </c>
      <c r="R64" s="20" t="s">
        <v>79</v>
      </c>
      <c r="S64" t="s">
        <v>9</v>
      </c>
      <c r="T64" t="s">
        <v>10</v>
      </c>
      <c r="V64" t="s">
        <v>11</v>
      </c>
      <c r="W64" t="s">
        <v>12</v>
      </c>
      <c r="X64" s="6" t="s">
        <v>13</v>
      </c>
      <c r="Y64" s="6">
        <v>31</v>
      </c>
      <c r="Z64" t="s">
        <v>11</v>
      </c>
      <c r="AA64" t="s">
        <v>11</v>
      </c>
      <c r="AC64" t="s">
        <v>11</v>
      </c>
      <c r="AD64" t="s">
        <v>80</v>
      </c>
      <c r="AE64" t="s">
        <v>81</v>
      </c>
      <c r="AF64" t="s">
        <v>11</v>
      </c>
      <c r="AG64" s="9" t="s">
        <v>11</v>
      </c>
      <c r="AH64" s="18" t="s">
        <v>82</v>
      </c>
      <c r="AI64" s="10" t="s">
        <v>18</v>
      </c>
      <c r="AJ64" s="11" t="s">
        <v>64</v>
      </c>
      <c r="AK64" s="11" t="s">
        <v>83</v>
      </c>
      <c r="AL64" t="s">
        <v>84</v>
      </c>
      <c r="AM64" s="9" t="s">
        <v>11</v>
      </c>
      <c r="AN64" s="10" t="s">
        <v>18</v>
      </c>
      <c r="AO64" t="s">
        <v>11</v>
      </c>
      <c r="AP64" t="s">
        <v>11</v>
      </c>
      <c r="AQ64" t="s">
        <v>11</v>
      </c>
      <c r="AR64" t="s">
        <v>11</v>
      </c>
      <c r="AS64" t="s">
        <v>11</v>
      </c>
      <c r="AT64" t="s">
        <v>11</v>
      </c>
      <c r="AU64"/>
      <c r="AV64" t="s">
        <v>1123</v>
      </c>
      <c r="AW64" s="40">
        <v>45715</v>
      </c>
      <c r="AX64" t="s">
        <v>35</v>
      </c>
      <c r="AY64" s="9" t="s">
        <v>1055</v>
      </c>
      <c r="AZ64" s="38" t="s">
        <v>1105</v>
      </c>
      <c r="BA64" s="38" t="s">
        <v>1106</v>
      </c>
      <c r="BB64" s="38" t="s">
        <v>1107</v>
      </c>
    </row>
    <row r="65" spans="1:54" ht="28.55" x14ac:dyDescent="0.25">
      <c r="A65" t="s">
        <v>1026</v>
      </c>
      <c r="B65" s="6" t="s">
        <v>1027</v>
      </c>
      <c r="C65" t="s">
        <v>1028</v>
      </c>
      <c r="D65">
        <v>2025</v>
      </c>
      <c r="E65" t="s">
        <v>1029</v>
      </c>
      <c r="G65" s="6" t="s">
        <v>45</v>
      </c>
      <c r="H65" s="9" t="s">
        <v>1030</v>
      </c>
      <c r="I65" s="6" t="s">
        <v>14</v>
      </c>
      <c r="J65" s="6" t="s">
        <v>1031</v>
      </c>
      <c r="K65" s="6" t="s">
        <v>1031</v>
      </c>
      <c r="L65" s="13" t="s">
        <v>852</v>
      </c>
      <c r="M65" s="7" t="s">
        <v>946</v>
      </c>
      <c r="O65" s="6" t="s">
        <v>7</v>
      </c>
      <c r="P65">
        <v>2021</v>
      </c>
      <c r="Q65">
        <v>2</v>
      </c>
      <c r="S65" s="6" t="s">
        <v>9</v>
      </c>
      <c r="T65" t="s">
        <v>10</v>
      </c>
      <c r="V65" t="s">
        <v>11</v>
      </c>
      <c r="W65" t="s">
        <v>12</v>
      </c>
      <c r="X65" t="s">
        <v>13</v>
      </c>
      <c r="Y65" s="15">
        <v>126</v>
      </c>
      <c r="Z65" t="s">
        <v>11</v>
      </c>
      <c r="AA65">
        <v>2127</v>
      </c>
      <c r="AB65" t="s">
        <v>11</v>
      </c>
      <c r="AC65" t="s">
        <v>11</v>
      </c>
      <c r="AD65" t="s">
        <v>80</v>
      </c>
      <c r="AH65"/>
      <c r="AI65" s="10"/>
      <c r="AJ65" s="11"/>
      <c r="AK65" s="11" t="s">
        <v>1032</v>
      </c>
      <c r="AL65"/>
      <c r="AM65" s="9"/>
      <c r="AN65" s="10" t="s">
        <v>18</v>
      </c>
      <c r="AO65" t="s">
        <v>11</v>
      </c>
      <c r="AP65" t="s">
        <v>11</v>
      </c>
      <c r="AQ65" t="s">
        <v>11</v>
      </c>
      <c r="AR65" t="s">
        <v>11</v>
      </c>
      <c r="AS65" t="s">
        <v>11</v>
      </c>
      <c r="AT65" t="s">
        <v>11</v>
      </c>
      <c r="AU65" t="s">
        <v>11</v>
      </c>
      <c r="AV65" t="s">
        <v>1123</v>
      </c>
      <c r="AW65" s="40">
        <v>45944</v>
      </c>
      <c r="AX65" t="s">
        <v>35</v>
      </c>
      <c r="AY65" s="9" t="s">
        <v>1050</v>
      </c>
      <c r="AZ65" s="21"/>
      <c r="BA65" s="21"/>
      <c r="BB65" s="21"/>
    </row>
    <row r="66" spans="1:54" ht="71.349999999999994" x14ac:dyDescent="0.25">
      <c r="A66" t="s">
        <v>337</v>
      </c>
      <c r="B66" s="6" t="s">
        <v>338</v>
      </c>
      <c r="C66" t="s">
        <v>339</v>
      </c>
      <c r="D66">
        <v>2017</v>
      </c>
      <c r="E66" t="s">
        <v>129</v>
      </c>
      <c r="F66" s="6" t="s">
        <v>130</v>
      </c>
      <c r="G66" s="6" t="s">
        <v>90</v>
      </c>
      <c r="H66" s="13" t="s">
        <v>340</v>
      </c>
      <c r="I66" t="s">
        <v>258</v>
      </c>
      <c r="J66" s="25" t="s">
        <v>343</v>
      </c>
      <c r="K66" s="25" t="s">
        <v>990</v>
      </c>
      <c r="L66" s="9" t="s">
        <v>343</v>
      </c>
      <c r="M66" t="s">
        <v>945</v>
      </c>
      <c r="N66" s="6" t="s">
        <v>341</v>
      </c>
      <c r="O66" s="6" t="s">
        <v>7</v>
      </c>
      <c r="P66">
        <v>2014</v>
      </c>
      <c r="Q66">
        <v>1</v>
      </c>
      <c r="R66" t="s">
        <v>342</v>
      </c>
      <c r="S66" t="s">
        <v>9</v>
      </c>
      <c r="T66" t="s">
        <v>10</v>
      </c>
      <c r="V66" t="s">
        <v>11</v>
      </c>
      <c r="W66" t="s">
        <v>117</v>
      </c>
      <c r="X66" t="s">
        <v>13</v>
      </c>
      <c r="Y66">
        <v>2063</v>
      </c>
      <c r="Z66" t="s">
        <v>11</v>
      </c>
      <c r="AA66">
        <v>1033239</v>
      </c>
      <c r="AC66">
        <v>2300728</v>
      </c>
      <c r="AD66" t="s">
        <v>80</v>
      </c>
      <c r="AE66" t="s">
        <v>81</v>
      </c>
      <c r="AF66" t="s">
        <v>11</v>
      </c>
      <c r="AG66" s="9" t="s">
        <v>11</v>
      </c>
      <c r="AH66"/>
      <c r="AI66" s="10" t="s">
        <v>35</v>
      </c>
      <c r="AJ66" s="11" t="s">
        <v>344</v>
      </c>
      <c r="AK66" s="26" t="s">
        <v>345</v>
      </c>
      <c r="AL66"/>
      <c r="AM66" s="9"/>
      <c r="AN66" s="10" t="s">
        <v>18</v>
      </c>
      <c r="AO66" t="s">
        <v>11</v>
      </c>
      <c r="AP66" t="s">
        <v>11</v>
      </c>
      <c r="AQ66" t="s">
        <v>11</v>
      </c>
      <c r="AR66" t="s">
        <v>11</v>
      </c>
      <c r="AS66" t="s">
        <v>11</v>
      </c>
      <c r="AT66" t="s">
        <v>11</v>
      </c>
      <c r="AU66"/>
      <c r="AV66" t="s">
        <v>1123</v>
      </c>
      <c r="AW66" s="40">
        <v>45721</v>
      </c>
      <c r="AX66" t="s">
        <v>35</v>
      </c>
      <c r="AY66" s="9" t="s">
        <v>1049</v>
      </c>
      <c r="AZ66" s="38" t="s">
        <v>346</v>
      </c>
      <c r="BA66" s="38" t="s">
        <v>347</v>
      </c>
      <c r="BB66" s="38" t="s">
        <v>348</v>
      </c>
    </row>
    <row r="67" spans="1:54" ht="71.349999999999994" x14ac:dyDescent="0.25">
      <c r="A67" t="s">
        <v>349</v>
      </c>
      <c r="B67" s="6" t="s">
        <v>350</v>
      </c>
      <c r="C67" t="s">
        <v>351</v>
      </c>
      <c r="D67">
        <v>2020</v>
      </c>
      <c r="E67" t="s">
        <v>352</v>
      </c>
      <c r="F67" s="6" t="s">
        <v>150</v>
      </c>
      <c r="G67" s="6" t="s">
        <v>150</v>
      </c>
      <c r="H67" s="13" t="s">
        <v>353</v>
      </c>
      <c r="I67" t="s">
        <v>258</v>
      </c>
      <c r="J67" s="25" t="s">
        <v>343</v>
      </c>
      <c r="K67" s="25" t="s">
        <v>990</v>
      </c>
      <c r="L67" s="9" t="s">
        <v>343</v>
      </c>
      <c r="M67" t="s">
        <v>945</v>
      </c>
      <c r="N67" s="6" t="s">
        <v>341</v>
      </c>
      <c r="O67" s="6" t="s">
        <v>7</v>
      </c>
      <c r="P67">
        <v>2014</v>
      </c>
      <c r="Q67">
        <v>1</v>
      </c>
      <c r="R67" t="s">
        <v>342</v>
      </c>
      <c r="S67" t="s">
        <v>354</v>
      </c>
      <c r="T67" t="s">
        <v>10</v>
      </c>
      <c r="V67" t="s">
        <v>11</v>
      </c>
      <c r="W67" t="s">
        <v>117</v>
      </c>
      <c r="X67" t="s">
        <v>13</v>
      </c>
      <c r="Y67">
        <v>2063</v>
      </c>
      <c r="Z67" t="s">
        <v>11</v>
      </c>
      <c r="AA67">
        <v>1033239</v>
      </c>
      <c r="AC67">
        <v>2300728</v>
      </c>
      <c r="AD67" t="s">
        <v>80</v>
      </c>
      <c r="AE67" t="s">
        <v>81</v>
      </c>
      <c r="AF67" t="s">
        <v>11</v>
      </c>
      <c r="AG67" s="9" t="s">
        <v>11</v>
      </c>
      <c r="AH67"/>
      <c r="AI67" s="10" t="s">
        <v>18</v>
      </c>
      <c r="AJ67" s="11" t="s">
        <v>355</v>
      </c>
      <c r="AK67" s="11" t="s">
        <v>356</v>
      </c>
      <c r="AL67" t="s">
        <v>18</v>
      </c>
      <c r="AM67" s="9" t="s">
        <v>18</v>
      </c>
      <c r="AN67" s="10" t="s">
        <v>18</v>
      </c>
      <c r="AO67" t="s">
        <v>11</v>
      </c>
      <c r="AP67" t="s">
        <v>11</v>
      </c>
      <c r="AQ67" t="s">
        <v>11</v>
      </c>
      <c r="AR67" t="s">
        <v>11</v>
      </c>
      <c r="AS67" t="s">
        <v>11</v>
      </c>
      <c r="AT67" t="s">
        <v>11</v>
      </c>
      <c r="AU67"/>
      <c r="AV67" t="s">
        <v>1123</v>
      </c>
      <c r="AW67" s="40">
        <v>45725</v>
      </c>
      <c r="AX67" t="s">
        <v>35</v>
      </c>
      <c r="AY67" s="9" t="s">
        <v>1049</v>
      </c>
      <c r="AZ67" s="12" t="s">
        <v>358</v>
      </c>
      <c r="BA67" s="12" t="s">
        <v>359</v>
      </c>
      <c r="BB67" s="12" t="s">
        <v>360</v>
      </c>
    </row>
    <row r="68" spans="1:54" ht="85.6" x14ac:dyDescent="0.25">
      <c r="A68" t="s">
        <v>1021</v>
      </c>
      <c r="B68" s="6" t="s">
        <v>1022</v>
      </c>
      <c r="C68" t="s">
        <v>1023</v>
      </c>
      <c r="D68">
        <v>2025</v>
      </c>
      <c r="E68" t="s">
        <v>192</v>
      </c>
      <c r="G68" s="6" t="s">
        <v>45</v>
      </c>
      <c r="H68" s="13" t="s">
        <v>1024</v>
      </c>
      <c r="I68" s="6" t="s">
        <v>14</v>
      </c>
      <c r="J68" s="6" t="s">
        <v>1015</v>
      </c>
      <c r="K68" s="6" t="s">
        <v>1015</v>
      </c>
      <c r="L68" s="13" t="s">
        <v>852</v>
      </c>
      <c r="M68" s="7" t="s">
        <v>946</v>
      </c>
      <c r="N68" s="7" t="s">
        <v>1025</v>
      </c>
      <c r="O68" s="6" t="s">
        <v>7</v>
      </c>
      <c r="P68">
        <v>2018</v>
      </c>
      <c r="Q68">
        <v>2</v>
      </c>
      <c r="S68" s="6" t="s">
        <v>9</v>
      </c>
      <c r="T68" t="s">
        <v>152</v>
      </c>
      <c r="U68" t="s">
        <v>979</v>
      </c>
      <c r="V68" t="s">
        <v>116</v>
      </c>
      <c r="W68" t="s">
        <v>117</v>
      </c>
      <c r="X68" t="s">
        <v>13</v>
      </c>
      <c r="Y68" s="15">
        <v>144</v>
      </c>
      <c r="Z68" t="s">
        <v>11</v>
      </c>
      <c r="AA68">
        <v>11816</v>
      </c>
      <c r="AB68" t="s">
        <v>11</v>
      </c>
      <c r="AC68" t="s">
        <v>11</v>
      </c>
      <c r="AD68" t="s">
        <v>80</v>
      </c>
      <c r="AE68" t="s">
        <v>81</v>
      </c>
      <c r="AF68" t="s">
        <v>11</v>
      </c>
      <c r="AG68" s="9" t="s">
        <v>11</v>
      </c>
      <c r="AH68"/>
      <c r="AI68" s="10"/>
      <c r="AJ68" s="11"/>
      <c r="AK68" s="6" t="s">
        <v>1036</v>
      </c>
      <c r="AL68" t="s">
        <v>11</v>
      </c>
      <c r="AM68" t="s">
        <v>11</v>
      </c>
      <c r="AN68" s="10" t="s">
        <v>18</v>
      </c>
      <c r="AO68" t="s">
        <v>11</v>
      </c>
      <c r="AP68" t="s">
        <v>11</v>
      </c>
      <c r="AQ68" t="s">
        <v>11</v>
      </c>
      <c r="AR68" t="s">
        <v>11</v>
      </c>
      <c r="AS68" t="s">
        <v>11</v>
      </c>
      <c r="AT68" t="s">
        <v>11</v>
      </c>
      <c r="AU68" t="s">
        <v>11</v>
      </c>
      <c r="AV68" t="s">
        <v>1123</v>
      </c>
      <c r="AW68" s="40">
        <v>45944</v>
      </c>
      <c r="AX68" t="s">
        <v>35</v>
      </c>
      <c r="AY68" s="9" t="s">
        <v>1050</v>
      </c>
      <c r="AZ68" s="21"/>
      <c r="BA68" s="21"/>
      <c r="BB68" s="21"/>
    </row>
    <row r="69" spans="1:54" ht="142.65" x14ac:dyDescent="0.25">
      <c r="A69" t="s">
        <v>237</v>
      </c>
      <c r="B69" s="6" t="s">
        <v>238</v>
      </c>
      <c r="C69" t="s">
        <v>239</v>
      </c>
      <c r="D69">
        <v>2014</v>
      </c>
      <c r="E69" t="s">
        <v>240</v>
      </c>
      <c r="F69" s="6" t="s">
        <v>241</v>
      </c>
      <c r="G69" s="6" t="s">
        <v>242</v>
      </c>
      <c r="H69" s="13" t="s">
        <v>243</v>
      </c>
      <c r="I69" t="s">
        <v>14</v>
      </c>
      <c r="J69" t="s">
        <v>931</v>
      </c>
      <c r="K69" t="s">
        <v>976</v>
      </c>
      <c r="L69" s="9" t="s">
        <v>248</v>
      </c>
      <c r="M69" t="s">
        <v>945</v>
      </c>
      <c r="N69" s="6" t="s">
        <v>244</v>
      </c>
      <c r="O69" s="6" t="s">
        <v>7</v>
      </c>
      <c r="P69" s="6" t="s">
        <v>11</v>
      </c>
      <c r="Q69" s="6" t="s">
        <v>753</v>
      </c>
      <c r="R69" s="6" t="s">
        <v>245</v>
      </c>
      <c r="S69" t="s">
        <v>246</v>
      </c>
      <c r="T69" t="s">
        <v>10</v>
      </c>
      <c r="V69" t="s">
        <v>11</v>
      </c>
      <c r="W69" t="s">
        <v>12</v>
      </c>
      <c r="X69" t="s">
        <v>247</v>
      </c>
      <c r="Y69" t="s">
        <v>11</v>
      </c>
      <c r="Z69">
        <v>8507</v>
      </c>
      <c r="AA69" t="s">
        <v>11</v>
      </c>
      <c r="AB69" t="s">
        <v>1043</v>
      </c>
      <c r="AC69" t="s">
        <v>1042</v>
      </c>
      <c r="AD69" t="s">
        <v>80</v>
      </c>
      <c r="AE69" t="s">
        <v>81</v>
      </c>
      <c r="AF69" t="s">
        <v>11</v>
      </c>
      <c r="AG69" s="9" t="s">
        <v>11</v>
      </c>
      <c r="AH69"/>
      <c r="AI69" s="10" t="s">
        <v>18</v>
      </c>
      <c r="AJ69" s="6" t="s">
        <v>249</v>
      </c>
      <c r="AK69" s="6" t="s">
        <v>250</v>
      </c>
      <c r="AL69" t="s">
        <v>251</v>
      </c>
      <c r="AM69" s="9" t="s">
        <v>11</v>
      </c>
      <c r="AN69" s="10" t="s">
        <v>35</v>
      </c>
      <c r="AO69" t="s">
        <v>142</v>
      </c>
      <c r="AP69" t="s">
        <v>143</v>
      </c>
      <c r="AQ69" t="s">
        <v>18</v>
      </c>
      <c r="AR69" t="s">
        <v>11</v>
      </c>
      <c r="AS69" t="s">
        <v>11</v>
      </c>
      <c r="AT69" t="s">
        <v>35</v>
      </c>
      <c r="AU69"/>
      <c r="AV69" t="s">
        <v>1123</v>
      </c>
      <c r="AW69" s="40">
        <v>45727</v>
      </c>
      <c r="AX69" t="s">
        <v>35</v>
      </c>
      <c r="AY69" s="9" t="s">
        <v>1049</v>
      </c>
      <c r="AZ69" s="35" t="s">
        <v>252</v>
      </c>
      <c r="BA69" s="35">
        <v>0</v>
      </c>
      <c r="BB69" s="35">
        <v>0</v>
      </c>
    </row>
    <row r="70" spans="1:54" ht="99.85" x14ac:dyDescent="0.25">
      <c r="A70" t="s">
        <v>222</v>
      </c>
      <c r="B70" s="6" t="s">
        <v>223</v>
      </c>
      <c r="C70" t="s">
        <v>224</v>
      </c>
      <c r="D70">
        <v>2021</v>
      </c>
      <c r="E70" t="s">
        <v>225</v>
      </c>
      <c r="F70" s="6" t="s">
        <v>226</v>
      </c>
      <c r="G70" s="6" t="s">
        <v>90</v>
      </c>
      <c r="H70" s="13" t="s">
        <v>227</v>
      </c>
      <c r="I70" t="s">
        <v>232</v>
      </c>
      <c r="J70" t="s">
        <v>957</v>
      </c>
      <c r="K70" t="s">
        <v>957</v>
      </c>
      <c r="L70" s="9" t="s">
        <v>233</v>
      </c>
      <c r="M70" t="s">
        <v>945</v>
      </c>
      <c r="N70" s="6" t="s">
        <v>228</v>
      </c>
      <c r="O70" s="6" t="s">
        <v>229</v>
      </c>
      <c r="P70">
        <v>2013</v>
      </c>
      <c r="Q70">
        <v>1</v>
      </c>
      <c r="R70" t="s">
        <v>230</v>
      </c>
      <c r="S70" t="s">
        <v>9</v>
      </c>
      <c r="T70" t="s">
        <v>10</v>
      </c>
      <c r="V70" t="s">
        <v>11</v>
      </c>
      <c r="W70" t="s">
        <v>12</v>
      </c>
      <c r="X70" t="s">
        <v>231</v>
      </c>
      <c r="Y70">
        <v>1</v>
      </c>
      <c r="Z70">
        <v>411</v>
      </c>
      <c r="AA70">
        <v>100301</v>
      </c>
      <c r="AC70" t="s">
        <v>11</v>
      </c>
      <c r="AD70" t="s">
        <v>80</v>
      </c>
      <c r="AE70" t="s">
        <v>81</v>
      </c>
      <c r="AF70" t="s">
        <v>11</v>
      </c>
      <c r="AG70" s="9" t="s">
        <v>11</v>
      </c>
      <c r="AH70"/>
      <c r="AI70" s="10" t="s">
        <v>18</v>
      </c>
      <c r="AJ70" s="6" t="s">
        <v>234</v>
      </c>
      <c r="AK70" s="6" t="s">
        <v>235</v>
      </c>
      <c r="AL70"/>
      <c r="AM70" s="9" t="s">
        <v>236</v>
      </c>
      <c r="AN70" s="10" t="s">
        <v>18</v>
      </c>
      <c r="AO70" t="s">
        <v>11</v>
      </c>
      <c r="AP70" t="s">
        <v>11</v>
      </c>
      <c r="AQ70" t="s">
        <v>11</v>
      </c>
      <c r="AR70" t="s">
        <v>11</v>
      </c>
      <c r="AS70" t="s">
        <v>11</v>
      </c>
      <c r="AT70" t="s">
        <v>11</v>
      </c>
      <c r="AU70"/>
      <c r="AV70" t="s">
        <v>1123</v>
      </c>
      <c r="AW70" s="40">
        <v>45715</v>
      </c>
      <c r="AX70" t="s">
        <v>35</v>
      </c>
      <c r="AY70" s="9" t="s">
        <v>1049</v>
      </c>
      <c r="AZ70" s="38" t="s">
        <v>1089</v>
      </c>
      <c r="BA70" s="38" t="s">
        <v>1090</v>
      </c>
      <c r="BB70" s="38" t="s">
        <v>1091</v>
      </c>
    </row>
    <row r="71" spans="1:54" ht="90.35" x14ac:dyDescent="0.25">
      <c r="A71" t="s">
        <v>504</v>
      </c>
      <c r="B71" s="6" t="s">
        <v>505</v>
      </c>
      <c r="C71" t="s">
        <v>506</v>
      </c>
      <c r="D71">
        <v>2020</v>
      </c>
      <c r="E71" t="s">
        <v>507</v>
      </c>
      <c r="F71" s="6" t="s">
        <v>508</v>
      </c>
      <c r="G71" s="6" t="s">
        <v>45</v>
      </c>
      <c r="H71" s="6" t="s">
        <v>509</v>
      </c>
      <c r="I71" t="s">
        <v>14</v>
      </c>
      <c r="J71" t="s">
        <v>514</v>
      </c>
      <c r="K71" t="s">
        <v>943</v>
      </c>
      <c r="L71" s="9" t="s">
        <v>138</v>
      </c>
      <c r="M71" t="s">
        <v>945</v>
      </c>
      <c r="N71" s="6" t="s">
        <v>132</v>
      </c>
      <c r="O71" s="6" t="s">
        <v>7</v>
      </c>
      <c r="P71" t="s">
        <v>510</v>
      </c>
      <c r="Q71" t="s">
        <v>511</v>
      </c>
      <c r="R71" t="s">
        <v>470</v>
      </c>
      <c r="S71" t="s">
        <v>246</v>
      </c>
      <c r="T71" t="s">
        <v>152</v>
      </c>
      <c r="U71" t="s">
        <v>980</v>
      </c>
      <c r="V71" t="s">
        <v>430</v>
      </c>
      <c r="W71" t="s">
        <v>12</v>
      </c>
      <c r="X71" t="s">
        <v>13</v>
      </c>
      <c r="Y71" t="s">
        <v>512</v>
      </c>
      <c r="Z71" t="s">
        <v>11</v>
      </c>
      <c r="AA71" t="s">
        <v>11</v>
      </c>
      <c r="AB71" t="s">
        <v>513</v>
      </c>
      <c r="AC71" t="s">
        <v>11</v>
      </c>
      <c r="AD71" t="s">
        <v>80</v>
      </c>
      <c r="AE71" t="s">
        <v>81</v>
      </c>
      <c r="AF71" t="s">
        <v>11</v>
      </c>
      <c r="AG71" s="9" t="s">
        <v>11</v>
      </c>
      <c r="AH71"/>
      <c r="AI71" s="10" t="s">
        <v>515</v>
      </c>
      <c r="AJ71" s="11" t="s">
        <v>516</v>
      </c>
      <c r="AK71" s="11" t="s">
        <v>517</v>
      </c>
      <c r="AL71" t="s">
        <v>11</v>
      </c>
      <c r="AM71" s="9" t="s">
        <v>11</v>
      </c>
      <c r="AN71" s="10" t="s">
        <v>35</v>
      </c>
      <c r="AO71" t="s">
        <v>142</v>
      </c>
      <c r="AP71" t="s">
        <v>518</v>
      </c>
      <c r="AQ71" t="s">
        <v>35</v>
      </c>
      <c r="AR71" s="6" t="s">
        <v>519</v>
      </c>
      <c r="AS71" s="6" t="s">
        <v>520</v>
      </c>
      <c r="AT71" t="s">
        <v>18</v>
      </c>
      <c r="AU71"/>
      <c r="AV71" t="s">
        <v>1123</v>
      </c>
      <c r="AW71" s="40">
        <v>45726</v>
      </c>
      <c r="AX71" t="s">
        <v>35</v>
      </c>
      <c r="AY71" s="9" t="s">
        <v>1049</v>
      </c>
      <c r="AZ71" s="35" t="s">
        <v>521</v>
      </c>
      <c r="BA71" s="35" t="s">
        <v>522</v>
      </c>
      <c r="BB71" s="35" t="s">
        <v>523</v>
      </c>
    </row>
    <row r="72" spans="1:54" ht="120.6" customHeight="1" x14ac:dyDescent="0.25">
      <c r="A72" t="s">
        <v>935</v>
      </c>
      <c r="I72" t="s">
        <v>14</v>
      </c>
      <c r="J72" t="s">
        <v>474</v>
      </c>
      <c r="K72" t="s">
        <v>474</v>
      </c>
      <c r="L72" s="9" t="s">
        <v>138</v>
      </c>
      <c r="M72" t="s">
        <v>945</v>
      </c>
      <c r="N72" s="11" t="s">
        <v>132</v>
      </c>
      <c r="O72" s="6" t="s">
        <v>7</v>
      </c>
      <c r="P72">
        <v>2008</v>
      </c>
      <c r="Q72">
        <v>8</v>
      </c>
      <c r="R72" t="s">
        <v>470</v>
      </c>
      <c r="S72" t="s">
        <v>246</v>
      </c>
      <c r="T72" t="s">
        <v>152</v>
      </c>
      <c r="U72" t="s">
        <v>980</v>
      </c>
      <c r="V72" t="s">
        <v>430</v>
      </c>
      <c r="W72" t="s">
        <v>12</v>
      </c>
      <c r="X72" t="s">
        <v>13</v>
      </c>
      <c r="Y72">
        <v>223</v>
      </c>
      <c r="Z72" t="s">
        <v>11</v>
      </c>
      <c r="AA72" t="s">
        <v>11</v>
      </c>
      <c r="AB72">
        <v>5254492</v>
      </c>
      <c r="AC72" t="s">
        <v>11</v>
      </c>
      <c r="AD72" t="s">
        <v>80</v>
      </c>
      <c r="AE72" t="s">
        <v>81</v>
      </c>
      <c r="AF72" t="s">
        <v>11</v>
      </c>
      <c r="AG72" s="9" t="s">
        <v>11</v>
      </c>
      <c r="AH72"/>
      <c r="AI72" s="10"/>
      <c r="AJ72" s="11" t="s">
        <v>516</v>
      </c>
      <c r="AK72" s="11" t="s">
        <v>517</v>
      </c>
      <c r="AL72" t="s">
        <v>11</v>
      </c>
      <c r="AM72" t="s">
        <v>11</v>
      </c>
      <c r="AN72" s="10" t="s">
        <v>35</v>
      </c>
      <c r="AO72" t="s">
        <v>142</v>
      </c>
      <c r="AP72" t="s">
        <v>518</v>
      </c>
      <c r="AQ72" t="s">
        <v>35</v>
      </c>
      <c r="AR72" s="6" t="s">
        <v>519</v>
      </c>
      <c r="AS72" s="6" t="s">
        <v>520</v>
      </c>
      <c r="AT72" t="s">
        <v>18</v>
      </c>
      <c r="AU72"/>
      <c r="AV72" t="s">
        <v>1123</v>
      </c>
      <c r="AW72"/>
      <c r="AX72" t="s">
        <v>35</v>
      </c>
      <c r="AY72" s="9" t="s">
        <v>1049</v>
      </c>
      <c r="AZ72" s="35"/>
      <c r="BA72" s="35"/>
      <c r="BB72" s="35"/>
    </row>
    <row r="73" spans="1:54" ht="85.6" x14ac:dyDescent="0.25">
      <c r="A73" t="s">
        <v>936</v>
      </c>
      <c r="I73" t="s">
        <v>14</v>
      </c>
      <c r="J73" t="s">
        <v>920</v>
      </c>
      <c r="K73" t="s">
        <v>920</v>
      </c>
      <c r="L73" s="9" t="s">
        <v>138</v>
      </c>
      <c r="M73" t="s">
        <v>945</v>
      </c>
      <c r="N73" s="11" t="s">
        <v>132</v>
      </c>
      <c r="O73" s="6" t="s">
        <v>7</v>
      </c>
      <c r="P73">
        <v>2010</v>
      </c>
      <c r="Q73">
        <v>7</v>
      </c>
      <c r="R73" t="s">
        <v>470</v>
      </c>
      <c r="S73" t="s">
        <v>246</v>
      </c>
      <c r="T73" t="s">
        <v>152</v>
      </c>
      <c r="U73" t="s">
        <v>980</v>
      </c>
      <c r="V73" t="s">
        <v>430</v>
      </c>
      <c r="W73" t="s">
        <v>12</v>
      </c>
      <c r="X73" t="s">
        <v>13</v>
      </c>
      <c r="Y73">
        <v>134</v>
      </c>
      <c r="Z73" t="s">
        <v>11</v>
      </c>
      <c r="AA73" t="s">
        <v>11</v>
      </c>
      <c r="AB73">
        <v>4826823</v>
      </c>
      <c r="AC73" t="s">
        <v>11</v>
      </c>
      <c r="AD73" t="s">
        <v>80</v>
      </c>
      <c r="AE73" t="s">
        <v>81</v>
      </c>
      <c r="AF73" t="s">
        <v>11</v>
      </c>
      <c r="AG73" s="9" t="s">
        <v>11</v>
      </c>
      <c r="AH73"/>
      <c r="AI73" s="10"/>
      <c r="AJ73" s="11" t="s">
        <v>516</v>
      </c>
      <c r="AK73" s="11" t="s">
        <v>517</v>
      </c>
      <c r="AL73" t="s">
        <v>11</v>
      </c>
      <c r="AM73" s="9" t="s">
        <v>11</v>
      </c>
      <c r="AN73" s="10" t="s">
        <v>35</v>
      </c>
      <c r="AO73" t="s">
        <v>142</v>
      </c>
      <c r="AP73" t="s">
        <v>518</v>
      </c>
      <c r="AQ73" t="s">
        <v>35</v>
      </c>
      <c r="AR73" s="6" t="s">
        <v>519</v>
      </c>
      <c r="AS73" s="6" t="s">
        <v>520</v>
      </c>
      <c r="AT73" t="s">
        <v>18</v>
      </c>
      <c r="AU73"/>
      <c r="AV73" t="s">
        <v>1123</v>
      </c>
      <c r="AW73"/>
      <c r="AX73" t="s">
        <v>35</v>
      </c>
      <c r="AY73" s="9" t="s">
        <v>1049</v>
      </c>
      <c r="AZ73" s="35"/>
      <c r="BA73" s="35"/>
      <c r="BB73" s="35"/>
    </row>
    <row r="74" spans="1:54" ht="116.15" x14ac:dyDescent="0.25">
      <c r="A74" t="s">
        <v>494</v>
      </c>
      <c r="B74" s="6" t="s">
        <v>495</v>
      </c>
      <c r="C74" t="s">
        <v>496</v>
      </c>
      <c r="D74">
        <v>2020</v>
      </c>
      <c r="E74" t="s">
        <v>129</v>
      </c>
      <c r="F74" s="6" t="s">
        <v>130</v>
      </c>
      <c r="G74" s="6" t="s">
        <v>90</v>
      </c>
      <c r="H74" s="6" t="s">
        <v>497</v>
      </c>
      <c r="I74" t="s">
        <v>14</v>
      </c>
      <c r="J74" t="s">
        <v>474</v>
      </c>
      <c r="K74" t="s">
        <v>474</v>
      </c>
      <c r="L74" s="9" t="s">
        <v>138</v>
      </c>
      <c r="M74" t="s">
        <v>945</v>
      </c>
      <c r="N74" s="11" t="s">
        <v>132</v>
      </c>
      <c r="O74" s="6" t="s">
        <v>7</v>
      </c>
      <c r="P74">
        <v>2008</v>
      </c>
      <c r="Q74">
        <v>8</v>
      </c>
      <c r="R74" t="s">
        <v>470</v>
      </c>
      <c r="S74" t="s">
        <v>246</v>
      </c>
      <c r="T74" t="s">
        <v>152</v>
      </c>
      <c r="U74" t="s">
        <v>980</v>
      </c>
      <c r="V74" t="s">
        <v>955</v>
      </c>
      <c r="W74" t="s">
        <v>12</v>
      </c>
      <c r="X74" t="s">
        <v>13</v>
      </c>
      <c r="Y74">
        <v>164</v>
      </c>
      <c r="Z74" t="s">
        <v>11</v>
      </c>
      <c r="AA74">
        <v>2733286</v>
      </c>
      <c r="AB74">
        <v>4573584</v>
      </c>
      <c r="AC74">
        <v>1673247</v>
      </c>
      <c r="AD74" t="s">
        <v>80</v>
      </c>
      <c r="AE74" t="s">
        <v>81</v>
      </c>
      <c r="AF74" t="s">
        <v>11</v>
      </c>
      <c r="AG74" s="9" t="s">
        <v>11</v>
      </c>
      <c r="AH74"/>
      <c r="AI74" s="10" t="s">
        <v>18</v>
      </c>
      <c r="AJ74" s="11" t="s">
        <v>498</v>
      </c>
      <c r="AK74" s="11" t="s">
        <v>499</v>
      </c>
      <c r="AL74" t="s">
        <v>11</v>
      </c>
      <c r="AM74" s="19" t="s">
        <v>500</v>
      </c>
      <c r="AN74" s="10" t="s">
        <v>35</v>
      </c>
      <c r="AO74" t="s">
        <v>142</v>
      </c>
      <c r="AP74" t="s">
        <v>143</v>
      </c>
      <c r="AQ74" t="s">
        <v>18</v>
      </c>
      <c r="AR74" s="6" t="s">
        <v>11</v>
      </c>
      <c r="AS74" s="6" t="s">
        <v>11</v>
      </c>
      <c r="AT74" t="s">
        <v>18</v>
      </c>
      <c r="AU74"/>
      <c r="AV74" t="s">
        <v>1123</v>
      </c>
      <c r="AW74" s="40">
        <v>45726</v>
      </c>
      <c r="AX74" t="s">
        <v>35</v>
      </c>
      <c r="AY74" s="9" t="s">
        <v>1049</v>
      </c>
      <c r="AZ74" s="35" t="s">
        <v>501</v>
      </c>
      <c r="BA74" s="35" t="s">
        <v>502</v>
      </c>
      <c r="BB74" s="35" t="s">
        <v>503</v>
      </c>
    </row>
    <row r="75" spans="1:54" ht="193.6" x14ac:dyDescent="0.25">
      <c r="A75" t="s">
        <v>776</v>
      </c>
      <c r="B75" s="6" t="s">
        <v>777</v>
      </c>
      <c r="C75" t="s">
        <v>778</v>
      </c>
      <c r="D75">
        <v>2023</v>
      </c>
      <c r="E75" t="s">
        <v>779</v>
      </c>
      <c r="F75" s="6" t="s">
        <v>112</v>
      </c>
      <c r="G75" s="6" t="s">
        <v>45</v>
      </c>
      <c r="H75" s="13" t="s">
        <v>780</v>
      </c>
      <c r="I75" t="s">
        <v>14</v>
      </c>
      <c r="J75" t="s">
        <v>920</v>
      </c>
      <c r="K75" t="s">
        <v>920</v>
      </c>
      <c r="L75" s="9" t="s">
        <v>138</v>
      </c>
      <c r="M75" t="s">
        <v>945</v>
      </c>
      <c r="N75" s="6" t="s">
        <v>132</v>
      </c>
      <c r="O75" s="6" t="s">
        <v>7</v>
      </c>
      <c r="P75">
        <v>2010</v>
      </c>
      <c r="Q75" s="6">
        <v>7</v>
      </c>
      <c r="R75" s="6" t="s">
        <v>245</v>
      </c>
      <c r="S75" s="6" t="s">
        <v>246</v>
      </c>
      <c r="T75" t="s">
        <v>152</v>
      </c>
      <c r="U75" t="s">
        <v>980</v>
      </c>
      <c r="V75" t="s">
        <v>11</v>
      </c>
      <c r="W75" t="s">
        <v>12</v>
      </c>
      <c r="X75" t="s">
        <v>13</v>
      </c>
      <c r="Y75">
        <v>116</v>
      </c>
      <c r="Z75" t="s">
        <v>11</v>
      </c>
      <c r="AA75" t="s">
        <v>11</v>
      </c>
      <c r="AC75">
        <v>1623567</v>
      </c>
      <c r="AD75" t="s">
        <v>80</v>
      </c>
      <c r="AE75" t="s">
        <v>81</v>
      </c>
      <c r="AF75" t="s">
        <v>11</v>
      </c>
      <c r="AG75" s="9" t="s">
        <v>11</v>
      </c>
      <c r="AH75"/>
      <c r="AI75" s="10" t="s">
        <v>18</v>
      </c>
      <c r="AJ75" s="11" t="s">
        <v>11</v>
      </c>
      <c r="AK75" s="11" t="s">
        <v>11</v>
      </c>
      <c r="AL75" t="s">
        <v>11</v>
      </c>
      <c r="AM75" s="9" t="s">
        <v>11</v>
      </c>
      <c r="AN75" s="10" t="s">
        <v>35</v>
      </c>
      <c r="AO75" t="s">
        <v>142</v>
      </c>
      <c r="AP75" t="s">
        <v>518</v>
      </c>
      <c r="AQ75" t="s">
        <v>35</v>
      </c>
      <c r="AR75" s="6" t="s">
        <v>781</v>
      </c>
      <c r="AS75" s="6" t="s">
        <v>782</v>
      </c>
      <c r="AT75" t="s">
        <v>35</v>
      </c>
      <c r="AU75"/>
      <c r="AV75" t="s">
        <v>1123</v>
      </c>
      <c r="AW75" s="40">
        <v>45727</v>
      </c>
      <c r="AX75" t="s">
        <v>35</v>
      </c>
      <c r="AY75" s="9" t="s">
        <v>1049</v>
      </c>
      <c r="AZ75" s="35" t="s">
        <v>783</v>
      </c>
      <c r="BA75" s="35" t="s">
        <v>784</v>
      </c>
      <c r="BB75" s="35">
        <v>0</v>
      </c>
    </row>
    <row r="76" spans="1:54" ht="28.55" x14ac:dyDescent="0.25">
      <c r="A76" t="s">
        <v>615</v>
      </c>
      <c r="B76" s="6" t="s">
        <v>616</v>
      </c>
      <c r="C76" t="s">
        <v>617</v>
      </c>
      <c r="D76">
        <v>2020</v>
      </c>
      <c r="E76" t="s">
        <v>618</v>
      </c>
      <c r="F76" s="6" t="s">
        <v>562</v>
      </c>
      <c r="G76" s="6" t="s">
        <v>45</v>
      </c>
      <c r="H76" s="9" t="s">
        <v>619</v>
      </c>
      <c r="I76" t="s">
        <v>14</v>
      </c>
      <c r="J76" t="s">
        <v>622</v>
      </c>
      <c r="K76" t="s">
        <v>943</v>
      </c>
      <c r="L76" s="9" t="s">
        <v>118</v>
      </c>
      <c r="M76" t="s">
        <v>946</v>
      </c>
      <c r="N76" s="6" t="s">
        <v>620</v>
      </c>
      <c r="O76" s="6" t="s">
        <v>7</v>
      </c>
      <c r="P76">
        <v>2016</v>
      </c>
      <c r="Q76">
        <v>1</v>
      </c>
      <c r="R76" t="s">
        <v>607</v>
      </c>
      <c r="S76" t="s">
        <v>246</v>
      </c>
      <c r="T76" t="s">
        <v>152</v>
      </c>
      <c r="U76" t="s">
        <v>980</v>
      </c>
      <c r="V76" t="s">
        <v>11</v>
      </c>
      <c r="W76" t="s">
        <v>117</v>
      </c>
      <c r="X76" t="s">
        <v>13</v>
      </c>
      <c r="Y76" t="s">
        <v>621</v>
      </c>
      <c r="Z76" t="s">
        <v>11</v>
      </c>
      <c r="AA76" t="s">
        <v>1035</v>
      </c>
      <c r="AB76" t="s">
        <v>11</v>
      </c>
      <c r="AC76" t="s">
        <v>11</v>
      </c>
      <c r="AD76" t="s">
        <v>80</v>
      </c>
      <c r="AE76" t="s">
        <v>81</v>
      </c>
      <c r="AF76" t="s">
        <v>11</v>
      </c>
      <c r="AG76" s="9" t="s">
        <v>11</v>
      </c>
      <c r="AH76"/>
      <c r="AI76" s="10" t="s">
        <v>18</v>
      </c>
      <c r="AJ76" s="11" t="s">
        <v>623</v>
      </c>
      <c r="AK76" s="11" t="s">
        <v>624</v>
      </c>
      <c r="AL76" t="s">
        <v>11</v>
      </c>
      <c r="AM76" s="9" t="s">
        <v>11</v>
      </c>
      <c r="AN76" s="10" t="s">
        <v>18</v>
      </c>
      <c r="AO76" t="s">
        <v>11</v>
      </c>
      <c r="AP76" t="s">
        <v>11</v>
      </c>
      <c r="AQ76" t="s">
        <v>11</v>
      </c>
      <c r="AR76" t="s">
        <v>11</v>
      </c>
      <c r="AS76" t="s">
        <v>11</v>
      </c>
      <c r="AT76" t="s">
        <v>11</v>
      </c>
      <c r="AU76"/>
      <c r="AV76" t="s">
        <v>1123</v>
      </c>
      <c r="AW76" s="40">
        <v>45770</v>
      </c>
      <c r="AX76" t="s">
        <v>35</v>
      </c>
      <c r="AY76" s="9" t="s">
        <v>1049</v>
      </c>
      <c r="AZ76" s="12" t="s">
        <v>625</v>
      </c>
      <c r="BA76" s="12" t="s">
        <v>626</v>
      </c>
      <c r="BB76" s="12" t="s">
        <v>627</v>
      </c>
    </row>
    <row r="77" spans="1:54" ht="28.55" x14ac:dyDescent="0.25">
      <c r="A77" t="s">
        <v>938</v>
      </c>
      <c r="H77" s="9"/>
      <c r="I77" t="s">
        <v>14</v>
      </c>
      <c r="J77" t="s">
        <v>964</v>
      </c>
      <c r="K77" t="s">
        <v>964</v>
      </c>
      <c r="L77" s="9" t="s">
        <v>118</v>
      </c>
      <c r="M77" t="s">
        <v>946</v>
      </c>
      <c r="N77" s="6"/>
      <c r="O77" s="6" t="s">
        <v>7</v>
      </c>
      <c r="P77">
        <v>2016</v>
      </c>
      <c r="Q77">
        <v>1</v>
      </c>
      <c r="R77" t="s">
        <v>607</v>
      </c>
      <c r="S77" t="s">
        <v>246</v>
      </c>
      <c r="T77" t="s">
        <v>152</v>
      </c>
      <c r="U77" t="s">
        <v>980</v>
      </c>
      <c r="V77" t="s">
        <v>11</v>
      </c>
      <c r="W77" t="s">
        <v>117</v>
      </c>
      <c r="X77" t="s">
        <v>13</v>
      </c>
      <c r="Y77">
        <v>82</v>
      </c>
      <c r="Z77" t="s">
        <v>11</v>
      </c>
      <c r="AA77">
        <v>736</v>
      </c>
      <c r="AB77" t="s">
        <v>11</v>
      </c>
      <c r="AC77" t="s">
        <v>11</v>
      </c>
      <c r="AD77" t="s">
        <v>80</v>
      </c>
      <c r="AE77" t="s">
        <v>81</v>
      </c>
      <c r="AF77" t="s">
        <v>11</v>
      </c>
      <c r="AG77" s="9" t="s">
        <v>11</v>
      </c>
      <c r="AH77"/>
      <c r="AI77" s="10" t="s">
        <v>18</v>
      </c>
      <c r="AJ77" s="11" t="s">
        <v>623</v>
      </c>
      <c r="AK77" s="11" t="s">
        <v>624</v>
      </c>
      <c r="AL77" t="s">
        <v>11</v>
      </c>
      <c r="AM77" s="9" t="s">
        <v>11</v>
      </c>
      <c r="AN77" s="10" t="s">
        <v>18</v>
      </c>
      <c r="AO77" t="s">
        <v>11</v>
      </c>
      <c r="AP77" t="s">
        <v>11</v>
      </c>
      <c r="AQ77" t="s">
        <v>11</v>
      </c>
      <c r="AR77" t="s">
        <v>11</v>
      </c>
      <c r="AS77" t="s">
        <v>11</v>
      </c>
      <c r="AT77" t="s">
        <v>11</v>
      </c>
      <c r="AU77"/>
      <c r="AV77" t="s">
        <v>1123</v>
      </c>
      <c r="AW77"/>
      <c r="AX77" t="s">
        <v>35</v>
      </c>
      <c r="AY77" s="9"/>
      <c r="AZ77" s="12"/>
      <c r="BA77" s="12"/>
      <c r="BB77" s="12"/>
    </row>
    <row r="78" spans="1:54" ht="28.55" x14ac:dyDescent="0.25">
      <c r="A78" t="s">
        <v>937</v>
      </c>
      <c r="H78" s="9"/>
      <c r="I78" t="s">
        <v>14</v>
      </c>
      <c r="J78" t="s">
        <v>939</v>
      </c>
      <c r="K78" t="s">
        <v>939</v>
      </c>
      <c r="L78" s="9" t="s">
        <v>118</v>
      </c>
      <c r="M78" t="s">
        <v>946</v>
      </c>
      <c r="N78" s="6"/>
      <c r="O78" s="6" t="s">
        <v>7</v>
      </c>
      <c r="P78">
        <v>2016</v>
      </c>
      <c r="Q78">
        <v>1</v>
      </c>
      <c r="R78" t="s">
        <v>607</v>
      </c>
      <c r="S78" t="s">
        <v>246</v>
      </c>
      <c r="T78" t="s">
        <v>152</v>
      </c>
      <c r="U78" t="s">
        <v>980</v>
      </c>
      <c r="V78" t="s">
        <v>11</v>
      </c>
      <c r="W78" t="s">
        <v>117</v>
      </c>
      <c r="X78" t="s">
        <v>13</v>
      </c>
      <c r="Y78">
        <v>46</v>
      </c>
      <c r="Z78" t="s">
        <v>11</v>
      </c>
      <c r="AA78">
        <v>600</v>
      </c>
      <c r="AB78" t="s">
        <v>11</v>
      </c>
      <c r="AC78" t="s">
        <v>11</v>
      </c>
      <c r="AD78" t="s">
        <v>80</v>
      </c>
      <c r="AE78" t="s">
        <v>81</v>
      </c>
      <c r="AF78" t="s">
        <v>11</v>
      </c>
      <c r="AG78" s="9" t="s">
        <v>11</v>
      </c>
      <c r="AH78"/>
      <c r="AI78" s="10" t="s">
        <v>18</v>
      </c>
      <c r="AJ78" s="11" t="s">
        <v>623</v>
      </c>
      <c r="AK78" s="11" t="s">
        <v>624</v>
      </c>
      <c r="AL78" t="s">
        <v>11</v>
      </c>
      <c r="AM78" s="9" t="s">
        <v>11</v>
      </c>
      <c r="AN78" s="10" t="s">
        <v>18</v>
      </c>
      <c r="AO78" t="s">
        <v>11</v>
      </c>
      <c r="AP78" t="s">
        <v>11</v>
      </c>
      <c r="AQ78" t="s">
        <v>11</v>
      </c>
      <c r="AR78" t="s">
        <v>11</v>
      </c>
      <c r="AS78" t="s">
        <v>11</v>
      </c>
      <c r="AT78" t="s">
        <v>11</v>
      </c>
      <c r="AU78"/>
      <c r="AV78" t="s">
        <v>1123</v>
      </c>
      <c r="AW78"/>
      <c r="AX78" t="s">
        <v>35</v>
      </c>
      <c r="AY78" s="9"/>
      <c r="AZ78" s="12"/>
      <c r="BA78" s="12"/>
      <c r="BB78" s="12"/>
    </row>
    <row r="79" spans="1:54" ht="85.6" x14ac:dyDescent="0.25">
      <c r="A79" t="s">
        <v>387</v>
      </c>
      <c r="B79" s="6" t="s">
        <v>388</v>
      </c>
      <c r="C79" t="s">
        <v>389</v>
      </c>
      <c r="D79">
        <v>2016</v>
      </c>
      <c r="E79" t="s">
        <v>111</v>
      </c>
      <c r="F79" s="6" t="s">
        <v>112</v>
      </c>
      <c r="G79" s="6" t="s">
        <v>45</v>
      </c>
      <c r="H79" s="13" t="s">
        <v>390</v>
      </c>
      <c r="I79" t="s">
        <v>14</v>
      </c>
      <c r="J79" t="s">
        <v>394</v>
      </c>
      <c r="K79" t="s">
        <v>394</v>
      </c>
      <c r="L79" s="9" t="s">
        <v>118</v>
      </c>
      <c r="M79" t="s">
        <v>946</v>
      </c>
      <c r="N79" s="6" t="s">
        <v>391</v>
      </c>
      <c r="O79" s="6" t="s">
        <v>7</v>
      </c>
      <c r="P79">
        <v>2013</v>
      </c>
      <c r="Q79" t="s">
        <v>392</v>
      </c>
      <c r="R79" t="s">
        <v>393</v>
      </c>
      <c r="S79" s="6" t="s">
        <v>9</v>
      </c>
      <c r="T79" t="s">
        <v>152</v>
      </c>
      <c r="U79" t="s">
        <v>979</v>
      </c>
      <c r="V79" t="s">
        <v>955</v>
      </c>
      <c r="W79" t="s">
        <v>12</v>
      </c>
      <c r="X79" t="s">
        <v>13</v>
      </c>
      <c r="Y79">
        <v>185</v>
      </c>
      <c r="Z79" t="s">
        <v>11</v>
      </c>
      <c r="AA79" t="s">
        <v>11</v>
      </c>
      <c r="AC79" t="s">
        <v>11</v>
      </c>
      <c r="AD79" t="s">
        <v>80</v>
      </c>
      <c r="AE79" t="s">
        <v>81</v>
      </c>
      <c r="AF79" t="s">
        <v>11</v>
      </c>
      <c r="AG79" s="9" t="s">
        <v>11</v>
      </c>
      <c r="AH79"/>
      <c r="AI79" s="10" t="s">
        <v>11</v>
      </c>
      <c r="AJ79" s="11" t="s">
        <v>395</v>
      </c>
      <c r="AK79" s="11" t="s">
        <v>396</v>
      </c>
      <c r="AL79" t="s">
        <v>397</v>
      </c>
      <c r="AM79" s="9" t="s">
        <v>11</v>
      </c>
      <c r="AN79" s="10" t="s">
        <v>18</v>
      </c>
      <c r="AO79" t="s">
        <v>11</v>
      </c>
      <c r="AP79" t="s">
        <v>11</v>
      </c>
      <c r="AQ79" t="s">
        <v>11</v>
      </c>
      <c r="AR79" t="s">
        <v>11</v>
      </c>
      <c r="AS79" t="s">
        <v>11</v>
      </c>
      <c r="AT79" t="s">
        <v>11</v>
      </c>
      <c r="AU79"/>
      <c r="AV79" t="s">
        <v>1123</v>
      </c>
      <c r="AW79" s="40">
        <v>45722</v>
      </c>
      <c r="AX79" t="s">
        <v>35</v>
      </c>
      <c r="AY79" s="9" t="s">
        <v>1049</v>
      </c>
      <c r="AZ79" s="38" t="s">
        <v>398</v>
      </c>
      <c r="BA79" s="38" t="s">
        <v>399</v>
      </c>
      <c r="BB79" s="38" t="s">
        <v>400</v>
      </c>
    </row>
    <row r="80" spans="1:54" ht="71.349999999999994" x14ac:dyDescent="0.25">
      <c r="A80" t="s">
        <v>401</v>
      </c>
      <c r="B80" s="6" t="s">
        <v>402</v>
      </c>
      <c r="C80" t="s">
        <v>403</v>
      </c>
      <c r="D80">
        <v>2018</v>
      </c>
      <c r="E80" t="s">
        <v>111</v>
      </c>
      <c r="F80" s="6" t="s">
        <v>112</v>
      </c>
      <c r="G80" s="6" t="s">
        <v>45</v>
      </c>
      <c r="H80" s="13" t="s">
        <v>404</v>
      </c>
      <c r="I80" t="s">
        <v>14</v>
      </c>
      <c r="J80" t="s">
        <v>394</v>
      </c>
      <c r="K80" t="s">
        <v>394</v>
      </c>
      <c r="L80" s="9" t="s">
        <v>118</v>
      </c>
      <c r="M80" t="s">
        <v>946</v>
      </c>
      <c r="N80" s="6" t="s">
        <v>391</v>
      </c>
      <c r="O80" s="6" t="s">
        <v>7</v>
      </c>
      <c r="P80">
        <v>2013</v>
      </c>
      <c r="Q80">
        <v>2</v>
      </c>
      <c r="R80" t="s">
        <v>393</v>
      </c>
      <c r="S80" s="6" t="s">
        <v>9</v>
      </c>
      <c r="T80" t="s">
        <v>152</v>
      </c>
      <c r="U80" t="s">
        <v>979</v>
      </c>
      <c r="V80" t="s">
        <v>366</v>
      </c>
      <c r="W80" t="s">
        <v>12</v>
      </c>
      <c r="X80" t="s">
        <v>13</v>
      </c>
      <c r="Y80">
        <v>22</v>
      </c>
      <c r="Z80" t="s">
        <v>11</v>
      </c>
      <c r="AA80" t="s">
        <v>11</v>
      </c>
      <c r="AC80" t="s">
        <v>11</v>
      </c>
      <c r="AD80" t="s">
        <v>80</v>
      </c>
      <c r="AE80" t="s">
        <v>81</v>
      </c>
      <c r="AF80" t="s">
        <v>11</v>
      </c>
      <c r="AG80" s="9" t="s">
        <v>11</v>
      </c>
      <c r="AH80"/>
      <c r="AI80" s="10" t="s">
        <v>11</v>
      </c>
      <c r="AJ80" s="11" t="s">
        <v>405</v>
      </c>
      <c r="AK80" s="11" t="s">
        <v>406</v>
      </c>
      <c r="AL80" s="27" t="s">
        <v>407</v>
      </c>
      <c r="AM80" s="9" t="s">
        <v>408</v>
      </c>
      <c r="AN80" s="10" t="s">
        <v>18</v>
      </c>
      <c r="AO80" t="s">
        <v>11</v>
      </c>
      <c r="AP80" t="s">
        <v>11</v>
      </c>
      <c r="AQ80" t="s">
        <v>11</v>
      </c>
      <c r="AR80" t="s">
        <v>11</v>
      </c>
      <c r="AS80" t="s">
        <v>11</v>
      </c>
      <c r="AT80" t="s">
        <v>11</v>
      </c>
      <c r="AU80"/>
      <c r="AV80" t="s">
        <v>1123</v>
      </c>
      <c r="AW80" s="40">
        <v>45722</v>
      </c>
      <c r="AX80" t="s">
        <v>35</v>
      </c>
      <c r="AY80" s="9" t="s">
        <v>1049</v>
      </c>
      <c r="AZ80" s="38" t="s">
        <v>409</v>
      </c>
      <c r="BA80" s="38" t="s">
        <v>410</v>
      </c>
      <c r="BB80" s="38" t="s">
        <v>411</v>
      </c>
    </row>
    <row r="81" spans="1:54" ht="57.1" x14ac:dyDescent="0.25">
      <c r="A81" t="s">
        <v>189</v>
      </c>
      <c r="B81" s="6" t="s">
        <v>190</v>
      </c>
      <c r="C81" t="s">
        <v>191</v>
      </c>
      <c r="D81">
        <v>2019</v>
      </c>
      <c r="E81" t="s">
        <v>192</v>
      </c>
      <c r="F81" s="6" t="s">
        <v>193</v>
      </c>
      <c r="G81" s="6" t="s">
        <v>45</v>
      </c>
      <c r="H81" s="13" t="s">
        <v>194</v>
      </c>
      <c r="I81" t="s">
        <v>14</v>
      </c>
      <c r="J81" t="s">
        <v>959</v>
      </c>
      <c r="K81" t="s">
        <v>986</v>
      </c>
      <c r="L81" s="9" t="s">
        <v>118</v>
      </c>
      <c r="M81" t="s">
        <v>946</v>
      </c>
      <c r="N81" s="6" t="s">
        <v>175</v>
      </c>
      <c r="O81" s="6" t="s">
        <v>7</v>
      </c>
      <c r="P81">
        <v>2005</v>
      </c>
      <c r="Q81">
        <v>7</v>
      </c>
      <c r="R81" t="s">
        <v>178</v>
      </c>
      <c r="S81" t="s">
        <v>9</v>
      </c>
      <c r="T81" t="s">
        <v>10</v>
      </c>
      <c r="V81" t="s">
        <v>11</v>
      </c>
      <c r="W81" t="s">
        <v>12</v>
      </c>
      <c r="X81" t="s">
        <v>13</v>
      </c>
      <c r="Y81">
        <v>385</v>
      </c>
      <c r="Z81" t="s">
        <v>11</v>
      </c>
      <c r="AA81">
        <v>532925</v>
      </c>
      <c r="AD81" t="s">
        <v>80</v>
      </c>
      <c r="AE81" t="s">
        <v>195</v>
      </c>
      <c r="AF81" t="s">
        <v>33</v>
      </c>
      <c r="AG81" s="9" t="s">
        <v>11</v>
      </c>
      <c r="AH81"/>
      <c r="AI81" s="10" t="s">
        <v>18</v>
      </c>
      <c r="AJ81" s="11" t="s">
        <v>196</v>
      </c>
      <c r="AK81" s="11" t="s">
        <v>197</v>
      </c>
      <c r="AL81" t="s">
        <v>198</v>
      </c>
      <c r="AM81" s="9" t="s">
        <v>11</v>
      </c>
      <c r="AN81" s="10" t="s">
        <v>18</v>
      </c>
      <c r="AO81" t="s">
        <v>11</v>
      </c>
      <c r="AP81" t="s">
        <v>11</v>
      </c>
      <c r="AQ81" t="s">
        <v>11</v>
      </c>
      <c r="AR81" t="s">
        <v>11</v>
      </c>
      <c r="AS81" t="s">
        <v>11</v>
      </c>
      <c r="AT81" t="s">
        <v>11</v>
      </c>
      <c r="AU81"/>
      <c r="AV81" t="s">
        <v>1123</v>
      </c>
      <c r="AW81" s="40">
        <v>45714</v>
      </c>
      <c r="AX81" t="s">
        <v>35</v>
      </c>
      <c r="AY81" s="9" t="s">
        <v>1049</v>
      </c>
      <c r="AZ81" s="12">
        <v>0</v>
      </c>
      <c r="BA81" s="12">
        <v>0</v>
      </c>
      <c r="BB81" s="12">
        <v>0</v>
      </c>
    </row>
    <row r="82" spans="1:54" ht="57.1" x14ac:dyDescent="0.25">
      <c r="A82" t="s">
        <v>199</v>
      </c>
      <c r="B82" s="6" t="s">
        <v>200</v>
      </c>
      <c r="C82" t="s">
        <v>201</v>
      </c>
      <c r="D82">
        <v>2015</v>
      </c>
      <c r="E82" t="s">
        <v>192</v>
      </c>
      <c r="F82" s="6" t="s">
        <v>193</v>
      </c>
      <c r="G82" s="6" t="s">
        <v>45</v>
      </c>
      <c r="H82" s="13" t="s">
        <v>202</v>
      </c>
      <c r="I82" t="s">
        <v>14</v>
      </c>
      <c r="J82" s="6" t="s">
        <v>959</v>
      </c>
      <c r="K82" t="s">
        <v>986</v>
      </c>
      <c r="L82" s="9" t="s">
        <v>118</v>
      </c>
      <c r="M82" t="s">
        <v>946</v>
      </c>
      <c r="N82" s="6" t="s">
        <v>175</v>
      </c>
      <c r="O82" s="6" t="s">
        <v>7</v>
      </c>
      <c r="P82">
        <v>2005</v>
      </c>
      <c r="Q82" s="6">
        <v>7</v>
      </c>
      <c r="R82" t="s">
        <v>178</v>
      </c>
      <c r="S82" t="s">
        <v>9</v>
      </c>
      <c r="T82" t="s">
        <v>10</v>
      </c>
      <c r="V82" t="s">
        <v>11</v>
      </c>
      <c r="W82" t="s">
        <v>12</v>
      </c>
      <c r="X82" t="s">
        <v>13</v>
      </c>
      <c r="Y82">
        <v>408</v>
      </c>
      <c r="Z82" t="s">
        <v>11</v>
      </c>
      <c r="AA82">
        <v>2752639</v>
      </c>
      <c r="AC82" s="6" t="s">
        <v>203</v>
      </c>
      <c r="AD82" t="s">
        <v>16</v>
      </c>
      <c r="AE82" t="s">
        <v>11</v>
      </c>
      <c r="AF82" t="s">
        <v>11</v>
      </c>
      <c r="AG82" s="9" t="s">
        <v>204</v>
      </c>
      <c r="AH82" t="s">
        <v>205</v>
      </c>
      <c r="AI82" s="10" t="s">
        <v>18</v>
      </c>
      <c r="AJ82" s="11" t="s">
        <v>206</v>
      </c>
      <c r="AK82" s="11" t="s">
        <v>207</v>
      </c>
      <c r="AL82" t="s">
        <v>208</v>
      </c>
      <c r="AM82" s="9"/>
      <c r="AN82" s="10" t="s">
        <v>18</v>
      </c>
      <c r="AO82" t="s">
        <v>11</v>
      </c>
      <c r="AP82" t="s">
        <v>11</v>
      </c>
      <c r="AQ82" t="s">
        <v>11</v>
      </c>
      <c r="AR82" t="s">
        <v>11</v>
      </c>
      <c r="AS82" t="s">
        <v>11</v>
      </c>
      <c r="AT82" t="s">
        <v>11</v>
      </c>
      <c r="AU82"/>
      <c r="AV82" t="s">
        <v>1123</v>
      </c>
      <c r="AW82" s="40">
        <v>45714</v>
      </c>
      <c r="AX82" t="s">
        <v>35</v>
      </c>
      <c r="AY82" s="9" t="s">
        <v>1049</v>
      </c>
      <c r="AZ82" s="12">
        <v>0</v>
      </c>
      <c r="BA82" s="12">
        <v>0</v>
      </c>
      <c r="BB82" s="12">
        <v>0</v>
      </c>
    </row>
    <row r="83" spans="1:54" ht="46.9" customHeight="1" x14ac:dyDescent="0.25">
      <c r="A83" t="s">
        <v>747</v>
      </c>
      <c r="B83" s="32" t="s">
        <v>748</v>
      </c>
      <c r="C83" t="s">
        <v>749</v>
      </c>
      <c r="D83">
        <v>2015</v>
      </c>
      <c r="E83" t="s">
        <v>750</v>
      </c>
      <c r="F83" s="6" t="s">
        <v>751</v>
      </c>
      <c r="G83" s="6" t="s">
        <v>45</v>
      </c>
      <c r="H83" s="13" t="s">
        <v>752</v>
      </c>
      <c r="I83" t="s">
        <v>14</v>
      </c>
      <c r="J83" s="6" t="s">
        <v>971</v>
      </c>
      <c r="K83" s="6" t="s">
        <v>971</v>
      </c>
      <c r="L83" s="9" t="s">
        <v>118</v>
      </c>
      <c r="M83" t="s">
        <v>946</v>
      </c>
      <c r="N83" s="6"/>
      <c r="O83" s="6" t="s">
        <v>634</v>
      </c>
      <c r="P83" t="s">
        <v>11</v>
      </c>
      <c r="Q83" t="s">
        <v>753</v>
      </c>
      <c r="R83" s="6" t="s">
        <v>245</v>
      </c>
      <c r="S83" t="s">
        <v>246</v>
      </c>
      <c r="T83" t="s">
        <v>10</v>
      </c>
      <c r="V83" t="s">
        <v>11</v>
      </c>
      <c r="W83" t="s">
        <v>117</v>
      </c>
      <c r="X83" t="s">
        <v>13</v>
      </c>
      <c r="Y83">
        <v>102</v>
      </c>
      <c r="Z83" t="s">
        <v>11</v>
      </c>
      <c r="AA83" t="s">
        <v>11</v>
      </c>
      <c r="AB83" t="s">
        <v>11</v>
      </c>
      <c r="AC83" t="s">
        <v>11</v>
      </c>
      <c r="AD83" t="s">
        <v>80</v>
      </c>
      <c r="AE83" t="s">
        <v>81</v>
      </c>
      <c r="AF83" t="s">
        <v>11</v>
      </c>
      <c r="AG83" s="9" t="s">
        <v>11</v>
      </c>
      <c r="AH83"/>
      <c r="AI83" s="10" t="s">
        <v>18</v>
      </c>
      <c r="AJ83" s="11" t="s">
        <v>11</v>
      </c>
      <c r="AK83" s="11" t="s">
        <v>11</v>
      </c>
      <c r="AL83" t="s">
        <v>11</v>
      </c>
      <c r="AM83" s="9" t="s">
        <v>11</v>
      </c>
      <c r="AN83" s="10" t="s">
        <v>35</v>
      </c>
      <c r="AO83" t="s">
        <v>184</v>
      </c>
      <c r="AP83" t="s">
        <v>1041</v>
      </c>
      <c r="AQ83" t="s">
        <v>35</v>
      </c>
      <c r="AR83" s="6" t="s">
        <v>754</v>
      </c>
      <c r="AS83" s="6" t="s">
        <v>745</v>
      </c>
      <c r="AT83" t="s">
        <v>35</v>
      </c>
      <c r="AU83"/>
      <c r="AV83" t="s">
        <v>1123</v>
      </c>
      <c r="AW83" s="40">
        <v>45724</v>
      </c>
      <c r="AX83" t="s">
        <v>35</v>
      </c>
      <c r="AY83" s="9" t="s">
        <v>1049</v>
      </c>
      <c r="AZ83" s="39" t="s">
        <v>1092</v>
      </c>
      <c r="BA83" s="39" t="s">
        <v>1093</v>
      </c>
      <c r="BB83" s="39" t="s">
        <v>1094</v>
      </c>
    </row>
    <row r="84" spans="1:54" ht="81.7" customHeight="1" x14ac:dyDescent="0.25">
      <c r="A84" t="s">
        <v>570</v>
      </c>
      <c r="B84" s="6" t="s">
        <v>571</v>
      </c>
      <c r="C84" t="s">
        <v>572</v>
      </c>
      <c r="D84">
        <v>2015</v>
      </c>
      <c r="E84" t="s">
        <v>573</v>
      </c>
      <c r="F84" s="6" t="s">
        <v>283</v>
      </c>
      <c r="G84" s="6" t="s">
        <v>45</v>
      </c>
      <c r="H84" s="13" t="s">
        <v>574</v>
      </c>
      <c r="I84" t="s">
        <v>14</v>
      </c>
      <c r="J84" t="s">
        <v>969</v>
      </c>
      <c r="K84" t="s">
        <v>956</v>
      </c>
      <c r="L84" s="9" t="s">
        <v>567</v>
      </c>
      <c r="M84" t="s">
        <v>948</v>
      </c>
      <c r="N84" s="11" t="s">
        <v>575</v>
      </c>
      <c r="O84" s="6" t="s">
        <v>7</v>
      </c>
      <c r="P84">
        <v>2004</v>
      </c>
      <c r="Q84">
        <v>5</v>
      </c>
      <c r="R84" t="s">
        <v>576</v>
      </c>
      <c r="S84" t="s">
        <v>246</v>
      </c>
      <c r="T84" t="s">
        <v>152</v>
      </c>
      <c r="U84" t="s">
        <v>979</v>
      </c>
      <c r="V84" t="s">
        <v>955</v>
      </c>
      <c r="W84" t="s">
        <v>12</v>
      </c>
      <c r="X84" t="s">
        <v>13</v>
      </c>
      <c r="Y84" t="s">
        <v>11</v>
      </c>
      <c r="Z84" t="s">
        <v>11</v>
      </c>
      <c r="AA84" t="s">
        <v>11</v>
      </c>
      <c r="AB84" t="s">
        <v>577</v>
      </c>
      <c r="AC84" t="s">
        <v>578</v>
      </c>
      <c r="AD84" t="s">
        <v>80</v>
      </c>
      <c r="AE84" t="s">
        <v>81</v>
      </c>
      <c r="AF84" t="s">
        <v>11</v>
      </c>
      <c r="AG84" s="9" t="s">
        <v>11</v>
      </c>
      <c r="AH84"/>
      <c r="AI84" s="10" t="s">
        <v>18</v>
      </c>
      <c r="AJ84" s="11" t="s">
        <v>579</v>
      </c>
      <c r="AK84" s="11" t="s">
        <v>11</v>
      </c>
      <c r="AL84" t="s">
        <v>11</v>
      </c>
      <c r="AM84" s="9" t="s">
        <v>11</v>
      </c>
      <c r="AN84" s="10" t="s">
        <v>18</v>
      </c>
      <c r="AO84" t="s">
        <v>11</v>
      </c>
      <c r="AP84" t="s">
        <v>11</v>
      </c>
      <c r="AQ84" t="s">
        <v>11</v>
      </c>
      <c r="AR84" t="s">
        <v>11</v>
      </c>
      <c r="AS84" t="s">
        <v>11</v>
      </c>
      <c r="AT84" t="s">
        <v>11</v>
      </c>
      <c r="AU84"/>
      <c r="AV84" t="s">
        <v>1123</v>
      </c>
      <c r="AW84" s="40">
        <v>45723</v>
      </c>
      <c r="AX84" t="s">
        <v>35</v>
      </c>
      <c r="AY84" s="9" t="s">
        <v>1049</v>
      </c>
      <c r="AZ84" s="38" t="s">
        <v>1095</v>
      </c>
      <c r="BA84" s="38" t="s">
        <v>1096</v>
      </c>
      <c r="BB84" s="38" t="s">
        <v>1097</v>
      </c>
    </row>
    <row r="85" spans="1:54" ht="156.9" x14ac:dyDescent="0.25">
      <c r="A85" t="s">
        <v>828</v>
      </c>
      <c r="B85" s="6" t="s">
        <v>829</v>
      </c>
      <c r="C85" t="s">
        <v>830</v>
      </c>
      <c r="D85">
        <v>2021</v>
      </c>
      <c r="E85" t="s">
        <v>129</v>
      </c>
      <c r="F85" s="6" t="s">
        <v>130</v>
      </c>
      <c r="G85" s="6" t="s">
        <v>90</v>
      </c>
      <c r="H85" s="13" t="s">
        <v>831</v>
      </c>
      <c r="I85" s="6" t="s">
        <v>232</v>
      </c>
      <c r="J85" s="6" t="s">
        <v>837</v>
      </c>
      <c r="K85" t="s">
        <v>943</v>
      </c>
      <c r="L85" s="9" t="s">
        <v>838</v>
      </c>
      <c r="M85" t="s">
        <v>11</v>
      </c>
      <c r="N85" s="6" t="s">
        <v>832</v>
      </c>
      <c r="O85" s="6" t="s">
        <v>229</v>
      </c>
      <c r="P85" s="6" t="s">
        <v>833</v>
      </c>
      <c r="Q85" s="6" t="s">
        <v>834</v>
      </c>
      <c r="R85" s="6" t="s">
        <v>607</v>
      </c>
      <c r="S85" s="6" t="s">
        <v>246</v>
      </c>
      <c r="T85" t="s">
        <v>10</v>
      </c>
      <c r="V85" t="s">
        <v>11</v>
      </c>
      <c r="W85" t="s">
        <v>12</v>
      </c>
      <c r="X85" t="s">
        <v>231</v>
      </c>
      <c r="Y85"/>
      <c r="Z85" s="6"/>
      <c r="AA85" t="s">
        <v>11</v>
      </c>
      <c r="AB85" s="6" t="s">
        <v>835</v>
      </c>
      <c r="AC85" s="6" t="s">
        <v>836</v>
      </c>
      <c r="AD85" t="s">
        <v>80</v>
      </c>
      <c r="AE85" t="s">
        <v>81</v>
      </c>
      <c r="AF85" t="s">
        <v>11</v>
      </c>
      <c r="AG85" s="9" t="s">
        <v>11</v>
      </c>
      <c r="AH85"/>
      <c r="AI85" s="10" t="s">
        <v>18</v>
      </c>
      <c r="AJ85" s="6" t="s">
        <v>839</v>
      </c>
      <c r="AK85" s="6" t="s">
        <v>840</v>
      </c>
      <c r="AL85" t="s">
        <v>11</v>
      </c>
      <c r="AM85" s="9" t="s">
        <v>11</v>
      </c>
      <c r="AN85" s="10" t="s">
        <v>35</v>
      </c>
      <c r="AO85" t="s">
        <v>184</v>
      </c>
      <c r="AP85" t="s">
        <v>518</v>
      </c>
      <c r="AQ85" t="s">
        <v>35</v>
      </c>
      <c r="AR85" s="6" t="s">
        <v>841</v>
      </c>
      <c r="AS85" s="6" t="s">
        <v>745</v>
      </c>
      <c r="AT85" t="s">
        <v>18</v>
      </c>
      <c r="AU85"/>
      <c r="AV85" t="s">
        <v>1123</v>
      </c>
      <c r="AW85" s="40">
        <v>45723</v>
      </c>
      <c r="AX85" t="s">
        <v>35</v>
      </c>
      <c r="AY85" s="9" t="s">
        <v>1049</v>
      </c>
      <c r="AZ85" s="35" t="s">
        <v>842</v>
      </c>
      <c r="BA85" s="35" t="s">
        <v>843</v>
      </c>
      <c r="BB85" s="35" t="s">
        <v>844</v>
      </c>
    </row>
    <row r="86" spans="1:54" ht="42.8" x14ac:dyDescent="0.25">
      <c r="A86" t="s">
        <v>951</v>
      </c>
      <c r="I86" s="6" t="s">
        <v>232</v>
      </c>
      <c r="J86" t="s">
        <v>965</v>
      </c>
      <c r="K86" t="s">
        <v>965</v>
      </c>
      <c r="L86" s="9" t="s">
        <v>138</v>
      </c>
      <c r="M86" t="s">
        <v>945</v>
      </c>
      <c r="N86" s="6" t="s">
        <v>832</v>
      </c>
      <c r="O86" s="6" t="s">
        <v>229</v>
      </c>
      <c r="P86" s="6">
        <v>2016</v>
      </c>
      <c r="Q86" s="6">
        <v>1</v>
      </c>
      <c r="R86" s="6" t="s">
        <v>607</v>
      </c>
      <c r="S86" s="6" t="s">
        <v>246</v>
      </c>
      <c r="T86" t="s">
        <v>10</v>
      </c>
      <c r="V86" t="s">
        <v>11</v>
      </c>
      <c r="W86" t="s">
        <v>12</v>
      </c>
      <c r="X86" t="s">
        <v>231</v>
      </c>
      <c r="Y86">
        <v>1</v>
      </c>
      <c r="Z86" s="6">
        <v>58</v>
      </c>
      <c r="AA86" t="s">
        <v>11</v>
      </c>
      <c r="AB86">
        <v>841221</v>
      </c>
      <c r="AC86">
        <v>416751</v>
      </c>
      <c r="AD86" t="s">
        <v>80</v>
      </c>
      <c r="AE86" t="s">
        <v>81</v>
      </c>
      <c r="AF86" t="s">
        <v>11</v>
      </c>
      <c r="AG86" s="9" t="s">
        <v>11</v>
      </c>
      <c r="AH86"/>
      <c r="AI86" s="10" t="s">
        <v>18</v>
      </c>
      <c r="AJ86" s="11" t="s">
        <v>839</v>
      </c>
      <c r="AK86" s="11" t="s">
        <v>840</v>
      </c>
      <c r="AL86" t="s">
        <v>11</v>
      </c>
      <c r="AM86" s="9" t="s">
        <v>11</v>
      </c>
      <c r="AN86" s="10" t="s">
        <v>18</v>
      </c>
      <c r="AO86" t="s">
        <v>11</v>
      </c>
      <c r="AP86" t="s">
        <v>11</v>
      </c>
      <c r="AQ86" t="s">
        <v>11</v>
      </c>
      <c r="AR86" t="s">
        <v>11</v>
      </c>
      <c r="AS86" t="s">
        <v>11</v>
      </c>
      <c r="AT86" t="s">
        <v>18</v>
      </c>
      <c r="AU86"/>
      <c r="AV86" t="s">
        <v>1123</v>
      </c>
      <c r="AW86"/>
      <c r="AX86" t="s">
        <v>35</v>
      </c>
      <c r="AY86" s="9"/>
      <c r="AZ86" s="35"/>
      <c r="BA86" s="35"/>
      <c r="BB86" s="35"/>
    </row>
    <row r="87" spans="1:54" ht="157.6" thickBot="1" x14ac:dyDescent="0.3">
      <c r="A87" t="s">
        <v>953</v>
      </c>
      <c r="I87" s="6" t="s">
        <v>232</v>
      </c>
      <c r="J87" t="s">
        <v>966</v>
      </c>
      <c r="K87" t="s">
        <v>966</v>
      </c>
      <c r="L87" s="9" t="s">
        <v>138</v>
      </c>
      <c r="M87" t="s">
        <v>945</v>
      </c>
      <c r="N87" s="6" t="s">
        <v>832</v>
      </c>
      <c r="O87" s="6" t="s">
        <v>229</v>
      </c>
      <c r="P87" s="6">
        <v>2017</v>
      </c>
      <c r="Q87" s="6">
        <v>1</v>
      </c>
      <c r="R87" s="6" t="s">
        <v>607</v>
      </c>
      <c r="S87" s="6" t="s">
        <v>246</v>
      </c>
      <c r="T87" t="s">
        <v>10</v>
      </c>
      <c r="V87" t="s">
        <v>11</v>
      </c>
      <c r="W87" t="s">
        <v>12</v>
      </c>
      <c r="X87" t="s">
        <v>231</v>
      </c>
      <c r="Y87">
        <v>1</v>
      </c>
      <c r="Z87" s="6">
        <v>58</v>
      </c>
      <c r="AA87" t="s">
        <v>11</v>
      </c>
      <c r="AB87">
        <v>47279</v>
      </c>
      <c r="AC87">
        <v>32863</v>
      </c>
      <c r="AD87" t="s">
        <v>80</v>
      </c>
      <c r="AE87" t="s">
        <v>81</v>
      </c>
      <c r="AF87" t="s">
        <v>11</v>
      </c>
      <c r="AG87" s="9" t="s">
        <v>11</v>
      </c>
      <c r="AH87"/>
      <c r="AI87" s="10" t="s">
        <v>18</v>
      </c>
      <c r="AJ87" s="11" t="s">
        <v>839</v>
      </c>
      <c r="AK87" s="11" t="s">
        <v>840</v>
      </c>
      <c r="AL87" t="s">
        <v>11</v>
      </c>
      <c r="AM87" s="9" t="s">
        <v>11</v>
      </c>
      <c r="AN87" s="10" t="s">
        <v>35</v>
      </c>
      <c r="AO87" t="s">
        <v>184</v>
      </c>
      <c r="AP87" t="s">
        <v>518</v>
      </c>
      <c r="AQ87" t="s">
        <v>35</v>
      </c>
      <c r="AR87" s="6" t="s">
        <v>841</v>
      </c>
      <c r="AS87" s="6" t="s">
        <v>745</v>
      </c>
      <c r="AT87" t="s">
        <v>18</v>
      </c>
      <c r="AU87"/>
      <c r="AV87" t="s">
        <v>1123</v>
      </c>
      <c r="AW87"/>
      <c r="AX87" t="s">
        <v>35</v>
      </c>
      <c r="AY87" s="9"/>
      <c r="AZ87" s="35"/>
      <c r="BA87" s="35"/>
      <c r="BB87" s="35"/>
    </row>
    <row r="88" spans="1:54" ht="43.5" thickBot="1" x14ac:dyDescent="0.3">
      <c r="A88" t="s">
        <v>952</v>
      </c>
      <c r="B88" s="2"/>
      <c r="C88" s="1"/>
      <c r="I88" s="6" t="s">
        <v>232</v>
      </c>
      <c r="J88" t="s">
        <v>963</v>
      </c>
      <c r="K88" t="s">
        <v>963</v>
      </c>
      <c r="L88" s="9" t="s">
        <v>941</v>
      </c>
      <c r="M88" t="s">
        <v>947</v>
      </c>
      <c r="N88" s="11" t="s">
        <v>832</v>
      </c>
      <c r="O88" s="6" t="s">
        <v>229</v>
      </c>
      <c r="P88" s="6">
        <v>2012</v>
      </c>
      <c r="Q88" s="6">
        <v>6</v>
      </c>
      <c r="R88" s="6" t="s">
        <v>607</v>
      </c>
      <c r="S88" s="6" t="s">
        <v>246</v>
      </c>
      <c r="T88" t="s">
        <v>10</v>
      </c>
      <c r="V88" t="s">
        <v>11</v>
      </c>
      <c r="W88" t="s">
        <v>12</v>
      </c>
      <c r="X88" t="s">
        <v>231</v>
      </c>
      <c r="Y88">
        <v>1</v>
      </c>
      <c r="Z88" s="6">
        <v>26</v>
      </c>
      <c r="AA88" t="s">
        <v>11</v>
      </c>
      <c r="AB88">
        <v>202524</v>
      </c>
      <c r="AC88">
        <v>17410</v>
      </c>
      <c r="AD88" t="s">
        <v>80</v>
      </c>
      <c r="AE88" t="s">
        <v>81</v>
      </c>
      <c r="AF88" t="s">
        <v>11</v>
      </c>
      <c r="AG88" s="9" t="s">
        <v>11</v>
      </c>
      <c r="AH88"/>
      <c r="AI88" s="10" t="s">
        <v>18</v>
      </c>
      <c r="AJ88" s="6" t="s">
        <v>839</v>
      </c>
      <c r="AK88" s="6" t="s">
        <v>840</v>
      </c>
      <c r="AL88" t="s">
        <v>11</v>
      </c>
      <c r="AM88" s="9" t="s">
        <v>11</v>
      </c>
      <c r="AN88" s="10" t="s">
        <v>18</v>
      </c>
      <c r="AO88" t="s">
        <v>11</v>
      </c>
      <c r="AP88" t="s">
        <v>11</v>
      </c>
      <c r="AQ88" t="s">
        <v>11</v>
      </c>
      <c r="AR88" t="s">
        <v>11</v>
      </c>
      <c r="AS88" t="s">
        <v>11</v>
      </c>
      <c r="AT88" t="s">
        <v>18</v>
      </c>
      <c r="AU88"/>
      <c r="AV88" t="s">
        <v>1123</v>
      </c>
      <c r="AW88"/>
      <c r="AX88" t="s">
        <v>35</v>
      </c>
      <c r="AY88" s="9"/>
      <c r="AZ88" s="35"/>
      <c r="BA88" s="35"/>
      <c r="BB88" s="35"/>
    </row>
    <row r="89" spans="1:54" ht="149.94999999999999" customHeight="1" x14ac:dyDescent="0.25">
      <c r="A89" t="s">
        <v>950</v>
      </c>
      <c r="I89" s="6" t="s">
        <v>232</v>
      </c>
      <c r="J89" t="s">
        <v>967</v>
      </c>
      <c r="K89" t="s">
        <v>967</v>
      </c>
      <c r="L89" s="9" t="s">
        <v>940</v>
      </c>
      <c r="M89" t="s">
        <v>945</v>
      </c>
      <c r="N89" s="6" t="s">
        <v>832</v>
      </c>
      <c r="O89" s="6" t="s">
        <v>229</v>
      </c>
      <c r="P89" s="6">
        <v>2016</v>
      </c>
      <c r="Q89" s="6">
        <v>1.08</v>
      </c>
      <c r="R89" s="6" t="s">
        <v>607</v>
      </c>
      <c r="S89" s="6" t="s">
        <v>246</v>
      </c>
      <c r="T89" t="s">
        <v>10</v>
      </c>
      <c r="V89" t="s">
        <v>11</v>
      </c>
      <c r="W89" t="s">
        <v>12</v>
      </c>
      <c r="X89" t="s">
        <v>231</v>
      </c>
      <c r="Y89">
        <v>1</v>
      </c>
      <c r="Z89" s="6">
        <v>36</v>
      </c>
      <c r="AA89" t="s">
        <v>11</v>
      </c>
      <c r="AB89">
        <v>37227</v>
      </c>
      <c r="AC89">
        <v>26724</v>
      </c>
      <c r="AD89" t="s">
        <v>80</v>
      </c>
      <c r="AE89" t="s">
        <v>81</v>
      </c>
      <c r="AF89" t="s">
        <v>11</v>
      </c>
      <c r="AG89" s="9" t="s">
        <v>11</v>
      </c>
      <c r="AH89"/>
      <c r="AI89" s="10" t="s">
        <v>18</v>
      </c>
      <c r="AJ89" s="11" t="s">
        <v>839</v>
      </c>
      <c r="AK89" s="11" t="s">
        <v>840</v>
      </c>
      <c r="AL89" t="s">
        <v>11</v>
      </c>
      <c r="AM89" s="9" t="s">
        <v>11</v>
      </c>
      <c r="AN89" s="10" t="s">
        <v>35</v>
      </c>
      <c r="AO89" t="s">
        <v>184</v>
      </c>
      <c r="AP89" t="s">
        <v>518</v>
      </c>
      <c r="AQ89" t="s">
        <v>35</v>
      </c>
      <c r="AR89" s="6" t="s">
        <v>841</v>
      </c>
      <c r="AS89" s="6" t="s">
        <v>745</v>
      </c>
      <c r="AT89" t="s">
        <v>18</v>
      </c>
      <c r="AU89"/>
      <c r="AV89" t="s">
        <v>1123</v>
      </c>
      <c r="AW89"/>
      <c r="AX89" t="s">
        <v>35</v>
      </c>
      <c r="AY89" s="9"/>
      <c r="AZ89" s="35"/>
      <c r="BA89" s="35"/>
      <c r="BB89" s="35"/>
    </row>
    <row r="90" spans="1:54" ht="36" customHeight="1" x14ac:dyDescent="0.25">
      <c r="A90" t="s">
        <v>949</v>
      </c>
      <c r="I90" s="6" t="s">
        <v>232</v>
      </c>
      <c r="J90" t="s">
        <v>968</v>
      </c>
      <c r="K90" t="s">
        <v>968</v>
      </c>
      <c r="L90" s="9" t="s">
        <v>544</v>
      </c>
      <c r="M90" t="s">
        <v>945</v>
      </c>
      <c r="N90" s="6" t="s">
        <v>832</v>
      </c>
      <c r="O90" s="6" t="s">
        <v>229</v>
      </c>
      <c r="P90" s="6">
        <v>2014</v>
      </c>
      <c r="Q90" s="6">
        <v>4</v>
      </c>
      <c r="R90" s="6" t="s">
        <v>607</v>
      </c>
      <c r="S90" s="6" t="s">
        <v>246</v>
      </c>
      <c r="T90" t="s">
        <v>10</v>
      </c>
      <c r="V90" t="s">
        <v>11</v>
      </c>
      <c r="W90" t="s">
        <v>12</v>
      </c>
      <c r="X90" t="s">
        <v>231</v>
      </c>
      <c r="Y90">
        <v>1</v>
      </c>
      <c r="Z90" s="6">
        <v>61</v>
      </c>
      <c r="AA90" t="s">
        <v>11</v>
      </c>
      <c r="AB90">
        <v>326064</v>
      </c>
      <c r="AC90">
        <v>30823</v>
      </c>
      <c r="AD90" t="s">
        <v>80</v>
      </c>
      <c r="AE90" t="s">
        <v>81</v>
      </c>
      <c r="AF90" t="s">
        <v>11</v>
      </c>
      <c r="AG90" s="9" t="s">
        <v>11</v>
      </c>
      <c r="AH90"/>
      <c r="AI90" s="10" t="s">
        <v>18</v>
      </c>
      <c r="AJ90" s="11" t="s">
        <v>839</v>
      </c>
      <c r="AK90" s="11" t="s">
        <v>840</v>
      </c>
      <c r="AL90" t="s">
        <v>11</v>
      </c>
      <c r="AM90" s="9" t="s">
        <v>11</v>
      </c>
      <c r="AN90" s="10" t="s">
        <v>18</v>
      </c>
      <c r="AO90" t="s">
        <v>11</v>
      </c>
      <c r="AP90" t="s">
        <v>11</v>
      </c>
      <c r="AQ90" t="s">
        <v>11</v>
      </c>
      <c r="AR90" t="s">
        <v>11</v>
      </c>
      <c r="AS90" t="s">
        <v>11</v>
      </c>
      <c r="AT90" t="s">
        <v>18</v>
      </c>
      <c r="AU90"/>
      <c r="AV90" t="s">
        <v>1123</v>
      </c>
      <c r="AW90"/>
      <c r="AX90" t="s">
        <v>35</v>
      </c>
      <c r="AY90" s="9"/>
      <c r="AZ90" s="35"/>
      <c r="BA90" s="35"/>
      <c r="BB90" s="35"/>
    </row>
    <row r="91" spans="1:54" ht="36" customHeight="1" x14ac:dyDescent="0.25">
      <c r="A91" t="s">
        <v>372</v>
      </c>
      <c r="B91" s="6" t="s">
        <v>373</v>
      </c>
      <c r="C91" t="s">
        <v>374</v>
      </c>
      <c r="D91">
        <v>2020</v>
      </c>
      <c r="E91" t="s">
        <v>375</v>
      </c>
      <c r="F91" s="6" t="s">
        <v>376</v>
      </c>
      <c r="G91" s="6" t="s">
        <v>242</v>
      </c>
      <c r="H91" s="13" t="s">
        <v>377</v>
      </c>
      <c r="I91" t="s">
        <v>14</v>
      </c>
      <c r="J91" t="s">
        <v>977</v>
      </c>
      <c r="K91" t="s">
        <v>977</v>
      </c>
      <c r="L91" s="9" t="s">
        <v>381</v>
      </c>
      <c r="M91" t="s">
        <v>947</v>
      </c>
      <c r="N91" s="6" t="s">
        <v>378</v>
      </c>
      <c r="O91" s="6" t="s">
        <v>7</v>
      </c>
      <c r="P91">
        <v>2009</v>
      </c>
      <c r="Q91" s="6">
        <v>3</v>
      </c>
      <c r="R91" s="6" t="s">
        <v>379</v>
      </c>
      <c r="S91" s="6" t="s">
        <v>9</v>
      </c>
      <c r="T91" t="s">
        <v>152</v>
      </c>
      <c r="U91" t="s">
        <v>979</v>
      </c>
      <c r="V91" t="s">
        <v>380</v>
      </c>
      <c r="W91" t="s">
        <v>12</v>
      </c>
      <c r="X91" t="s">
        <v>13</v>
      </c>
      <c r="Y91">
        <v>1500</v>
      </c>
      <c r="Z91" t="s">
        <v>11</v>
      </c>
      <c r="AA91">
        <v>64076</v>
      </c>
      <c r="AB91">
        <v>3079434</v>
      </c>
      <c r="AC91" t="s">
        <v>11</v>
      </c>
      <c r="AD91" t="s">
        <v>80</v>
      </c>
      <c r="AE91" t="s">
        <v>81</v>
      </c>
      <c r="AF91" t="s">
        <v>11</v>
      </c>
      <c r="AG91" s="9" t="s">
        <v>11</v>
      </c>
      <c r="AH91"/>
      <c r="AI91" s="10" t="s">
        <v>18</v>
      </c>
      <c r="AJ91" s="11" t="s">
        <v>382</v>
      </c>
      <c r="AK91" s="11" t="s">
        <v>383</v>
      </c>
      <c r="AL91" t="s">
        <v>11</v>
      </c>
      <c r="AM91" s="9" t="s">
        <v>11</v>
      </c>
      <c r="AN91" s="10" t="s">
        <v>18</v>
      </c>
      <c r="AO91" t="s">
        <v>11</v>
      </c>
      <c r="AP91" t="s">
        <v>11</v>
      </c>
      <c r="AQ91" t="s">
        <v>11</v>
      </c>
      <c r="AR91" t="s">
        <v>11</v>
      </c>
      <c r="AS91" t="s">
        <v>11</v>
      </c>
      <c r="AT91" t="s">
        <v>11</v>
      </c>
      <c r="AU91"/>
      <c r="AV91" t="s">
        <v>1123</v>
      </c>
      <c r="AW91" s="40">
        <v>45722</v>
      </c>
      <c r="AX91" t="s">
        <v>35</v>
      </c>
      <c r="AY91" s="9" t="s">
        <v>1049</v>
      </c>
      <c r="AZ91" s="38" t="s">
        <v>384</v>
      </c>
      <c r="BA91" s="38" t="s">
        <v>385</v>
      </c>
      <c r="BB91" s="38" t="s">
        <v>386</v>
      </c>
    </row>
    <row r="92" spans="1:54" ht="36" customHeight="1" x14ac:dyDescent="0.25">
      <c r="A92" t="s">
        <v>524</v>
      </c>
      <c r="B92" s="6" t="s">
        <v>525</v>
      </c>
      <c r="C92" t="s">
        <v>526</v>
      </c>
      <c r="D92">
        <v>2021</v>
      </c>
      <c r="E92" t="s">
        <v>160</v>
      </c>
      <c r="F92" s="6" t="s">
        <v>150</v>
      </c>
      <c r="G92" s="6" t="s">
        <v>150</v>
      </c>
      <c r="H92" s="13" t="s">
        <v>527</v>
      </c>
      <c r="I92" t="s">
        <v>232</v>
      </c>
      <c r="J92" t="s">
        <v>530</v>
      </c>
      <c r="K92" t="s">
        <v>530</v>
      </c>
      <c r="L92" s="9" t="s">
        <v>530</v>
      </c>
      <c r="M92" t="s">
        <v>947</v>
      </c>
      <c r="N92" s="6" t="s">
        <v>528</v>
      </c>
      <c r="O92" s="6" t="s">
        <v>229</v>
      </c>
      <c r="P92">
        <v>2010</v>
      </c>
      <c r="Q92" s="6">
        <v>4</v>
      </c>
      <c r="R92" s="6" t="s">
        <v>529</v>
      </c>
      <c r="S92" s="6" t="s">
        <v>246</v>
      </c>
      <c r="T92" t="s">
        <v>10</v>
      </c>
      <c r="V92" t="s">
        <v>11</v>
      </c>
      <c r="W92" t="s">
        <v>12</v>
      </c>
      <c r="X92" t="s">
        <v>231</v>
      </c>
      <c r="Y92">
        <v>1</v>
      </c>
      <c r="Z92">
        <v>64</v>
      </c>
      <c r="AA92" t="s">
        <v>11</v>
      </c>
      <c r="AB92" t="s">
        <v>11</v>
      </c>
      <c r="AC92" t="s">
        <v>11</v>
      </c>
      <c r="AD92" t="s">
        <v>16</v>
      </c>
      <c r="AE92" t="s">
        <v>11</v>
      </c>
      <c r="AF92" t="s">
        <v>11</v>
      </c>
      <c r="AG92" s="9" t="s">
        <v>204</v>
      </c>
      <c r="AH92"/>
      <c r="AI92" s="10" t="s">
        <v>18</v>
      </c>
      <c r="AJ92" s="11" t="s">
        <v>531</v>
      </c>
      <c r="AK92" s="11" t="s">
        <v>532</v>
      </c>
      <c r="AL92" t="s">
        <v>533</v>
      </c>
      <c r="AM92" s="9" t="s">
        <v>534</v>
      </c>
      <c r="AN92" s="10" t="s">
        <v>18</v>
      </c>
      <c r="AO92" t="s">
        <v>11</v>
      </c>
      <c r="AP92" t="s">
        <v>11</v>
      </c>
      <c r="AQ92" t="s">
        <v>18</v>
      </c>
      <c r="AR92" t="s">
        <v>11</v>
      </c>
      <c r="AS92" t="s">
        <v>11</v>
      </c>
      <c r="AT92" t="s">
        <v>11</v>
      </c>
      <c r="AU92"/>
      <c r="AV92" t="s">
        <v>1123</v>
      </c>
      <c r="AW92" s="40">
        <v>45723</v>
      </c>
      <c r="AX92" t="s">
        <v>35</v>
      </c>
      <c r="AY92" s="9" t="s">
        <v>1049</v>
      </c>
      <c r="AZ92" s="12" t="s">
        <v>535</v>
      </c>
      <c r="BA92" s="12" t="s">
        <v>536</v>
      </c>
      <c r="BB92" s="12" t="s">
        <v>537</v>
      </c>
    </row>
    <row r="93" spans="1:54" ht="36" customHeight="1" x14ac:dyDescent="0.25">
      <c r="A93" t="s">
        <v>785</v>
      </c>
      <c r="B93" s="6" t="s">
        <v>786</v>
      </c>
      <c r="C93" t="s">
        <v>787</v>
      </c>
      <c r="D93">
        <v>2015</v>
      </c>
      <c r="E93" t="s">
        <v>788</v>
      </c>
      <c r="F93" s="6" t="s">
        <v>44</v>
      </c>
      <c r="G93" s="6" t="s">
        <v>45</v>
      </c>
      <c r="H93" s="13" t="s">
        <v>789</v>
      </c>
      <c r="I93" t="s">
        <v>14</v>
      </c>
      <c r="J93" t="s">
        <v>791</v>
      </c>
      <c r="K93" t="s">
        <v>791</v>
      </c>
      <c r="L93" s="9" t="s">
        <v>294</v>
      </c>
      <c r="M93" t="s">
        <v>945</v>
      </c>
      <c r="N93" s="6" t="s">
        <v>790</v>
      </c>
      <c r="O93" s="6" t="s">
        <v>7</v>
      </c>
      <c r="P93">
        <v>2007</v>
      </c>
      <c r="Q93">
        <v>2</v>
      </c>
      <c r="R93" s="6" t="s">
        <v>245</v>
      </c>
      <c r="S93" s="6" t="s">
        <v>246</v>
      </c>
      <c r="T93" t="s">
        <v>152</v>
      </c>
      <c r="U93" t="s">
        <v>979</v>
      </c>
      <c r="V93" t="s">
        <v>955</v>
      </c>
      <c r="W93" t="s">
        <v>12</v>
      </c>
      <c r="X93" t="s">
        <v>13</v>
      </c>
      <c r="Y93">
        <v>182</v>
      </c>
      <c r="Z93" t="s">
        <v>11</v>
      </c>
      <c r="AA93" t="s">
        <v>11</v>
      </c>
      <c r="AC93" t="s">
        <v>11</v>
      </c>
      <c r="AD93" t="s">
        <v>80</v>
      </c>
      <c r="AE93" t="s">
        <v>81</v>
      </c>
      <c r="AF93" t="s">
        <v>11</v>
      </c>
      <c r="AG93" s="9" t="s">
        <v>11</v>
      </c>
      <c r="AH93"/>
      <c r="AI93" s="10" t="s">
        <v>18</v>
      </c>
      <c r="AJ93" s="11" t="s">
        <v>11</v>
      </c>
      <c r="AK93" s="11" t="s">
        <v>11</v>
      </c>
      <c r="AL93" t="s">
        <v>11</v>
      </c>
      <c r="AM93" s="9" t="s">
        <v>11</v>
      </c>
      <c r="AN93" s="10" t="s">
        <v>35</v>
      </c>
      <c r="AO93" t="s">
        <v>142</v>
      </c>
      <c r="AP93" t="s">
        <v>792</v>
      </c>
      <c r="AQ93" t="s">
        <v>35</v>
      </c>
      <c r="AR93" s="6" t="s">
        <v>793</v>
      </c>
      <c r="AS93" s="6" t="s">
        <v>982</v>
      </c>
      <c r="AT93" t="s">
        <v>35</v>
      </c>
      <c r="AU93"/>
      <c r="AV93" t="s">
        <v>1123</v>
      </c>
      <c r="AW93" s="40">
        <v>45723</v>
      </c>
      <c r="AX93" t="s">
        <v>35</v>
      </c>
      <c r="AY93" s="9" t="s">
        <v>1049</v>
      </c>
      <c r="AZ93" s="35" t="s">
        <v>794</v>
      </c>
      <c r="BA93" s="35" t="s">
        <v>795</v>
      </c>
      <c r="BB93" s="35">
        <v>0</v>
      </c>
    </row>
    <row r="94" spans="1:54" ht="36" customHeight="1" x14ac:dyDescent="0.25">
      <c r="A94" t="s">
        <v>549</v>
      </c>
      <c r="B94" s="6" t="s">
        <v>550</v>
      </c>
      <c r="C94" t="s">
        <v>551</v>
      </c>
      <c r="D94">
        <v>2016</v>
      </c>
      <c r="E94" t="s">
        <v>192</v>
      </c>
      <c r="F94" s="6" t="s">
        <v>552</v>
      </c>
      <c r="G94" s="6" t="s">
        <v>45</v>
      </c>
      <c r="H94" s="13" t="s">
        <v>553</v>
      </c>
      <c r="I94" t="s">
        <v>258</v>
      </c>
      <c r="J94" t="s">
        <v>544</v>
      </c>
      <c r="K94" t="s">
        <v>544</v>
      </c>
      <c r="L94" s="9" t="s">
        <v>544</v>
      </c>
      <c r="M94" t="s">
        <v>945</v>
      </c>
      <c r="N94" s="6" t="s">
        <v>554</v>
      </c>
      <c r="O94" s="6" t="s">
        <v>7</v>
      </c>
      <c r="P94" s="6" t="s">
        <v>555</v>
      </c>
      <c r="Q94" t="s">
        <v>556</v>
      </c>
      <c r="R94" t="s">
        <v>543</v>
      </c>
      <c r="S94" s="6" t="s">
        <v>246</v>
      </c>
      <c r="T94" t="s">
        <v>10</v>
      </c>
      <c r="V94" t="s">
        <v>11</v>
      </c>
      <c r="W94" t="s">
        <v>117</v>
      </c>
      <c r="X94" t="s">
        <v>13</v>
      </c>
      <c r="Y94">
        <v>1225</v>
      </c>
      <c r="Z94" t="s">
        <v>11</v>
      </c>
      <c r="AA94" t="s">
        <v>11</v>
      </c>
      <c r="AC94" t="s">
        <v>11</v>
      </c>
      <c r="AD94" t="s">
        <v>16</v>
      </c>
      <c r="AE94" t="s">
        <v>11</v>
      </c>
      <c r="AF94" t="s">
        <v>11</v>
      </c>
      <c r="AG94" s="9" t="s">
        <v>486</v>
      </c>
      <c r="AH94" s="18" t="s">
        <v>557</v>
      </c>
      <c r="AI94" s="10" t="s">
        <v>18</v>
      </c>
      <c r="AJ94" s="11" t="s">
        <v>11</v>
      </c>
      <c r="AK94" s="11" t="s">
        <v>11</v>
      </c>
      <c r="AL94" t="s">
        <v>11</v>
      </c>
      <c r="AM94" s="9" t="s">
        <v>11</v>
      </c>
      <c r="AN94" s="10" t="s">
        <v>35</v>
      </c>
      <c r="AO94" t="s">
        <v>142</v>
      </c>
      <c r="AP94" t="s">
        <v>185</v>
      </c>
      <c r="AQ94" t="s">
        <v>18</v>
      </c>
      <c r="AR94" t="s">
        <v>11</v>
      </c>
      <c r="AS94" t="s">
        <v>11</v>
      </c>
      <c r="AT94" t="s">
        <v>18</v>
      </c>
      <c r="AU94"/>
      <c r="AV94" t="s">
        <v>1123</v>
      </c>
      <c r="AW94" s="40">
        <v>45723</v>
      </c>
      <c r="AX94" t="s">
        <v>35</v>
      </c>
      <c r="AY94" s="9" t="s">
        <v>1049</v>
      </c>
      <c r="AZ94" s="35"/>
      <c r="BA94" s="35"/>
      <c r="BB94" s="35"/>
    </row>
    <row r="95" spans="1:54" ht="72.7" customHeight="1" x14ac:dyDescent="0.25">
      <c r="A95" t="s">
        <v>755</v>
      </c>
      <c r="B95" s="6" t="s">
        <v>756</v>
      </c>
      <c r="C95" t="s">
        <v>757</v>
      </c>
      <c r="D95">
        <v>2024</v>
      </c>
      <c r="E95" t="s">
        <v>758</v>
      </c>
      <c r="F95" s="6" t="s">
        <v>150</v>
      </c>
      <c r="G95" s="6" t="s">
        <v>150</v>
      </c>
      <c r="H95" s="13" t="s">
        <v>759</v>
      </c>
      <c r="I95" t="s">
        <v>14</v>
      </c>
      <c r="J95" t="s">
        <v>960</v>
      </c>
      <c r="K95" t="s">
        <v>960</v>
      </c>
      <c r="L95" s="9" t="s">
        <v>544</v>
      </c>
      <c r="M95" t="s">
        <v>945</v>
      </c>
      <c r="N95" s="11" t="s">
        <v>760</v>
      </c>
      <c r="O95" s="6" t="s">
        <v>866</v>
      </c>
      <c r="P95">
        <v>2013</v>
      </c>
      <c r="Q95">
        <v>7</v>
      </c>
      <c r="R95" t="s">
        <v>761</v>
      </c>
      <c r="S95" t="s">
        <v>246</v>
      </c>
      <c r="T95" t="s">
        <v>10</v>
      </c>
      <c r="V95" t="s">
        <v>11</v>
      </c>
      <c r="W95" t="s">
        <v>12</v>
      </c>
      <c r="X95" t="s">
        <v>13</v>
      </c>
      <c r="Y95">
        <v>4</v>
      </c>
      <c r="Z95" t="s">
        <v>11</v>
      </c>
      <c r="AA95">
        <v>24311</v>
      </c>
      <c r="AB95" t="s">
        <v>762</v>
      </c>
      <c r="AC95" t="s">
        <v>11</v>
      </c>
      <c r="AD95" t="s">
        <v>16</v>
      </c>
      <c r="AE95" t="s">
        <v>11</v>
      </c>
      <c r="AF95" t="s">
        <v>11</v>
      </c>
      <c r="AG95" s="9" t="s">
        <v>17</v>
      </c>
      <c r="AH95"/>
      <c r="AI95" s="10" t="s">
        <v>18</v>
      </c>
      <c r="AJ95" s="11" t="s">
        <v>11</v>
      </c>
      <c r="AK95" s="11" t="s">
        <v>11</v>
      </c>
      <c r="AL95" t="s">
        <v>11</v>
      </c>
      <c r="AM95" s="9" t="s">
        <v>11</v>
      </c>
      <c r="AN95" s="10" t="s">
        <v>18</v>
      </c>
      <c r="AO95" t="s">
        <v>11</v>
      </c>
      <c r="AP95" t="s">
        <v>11</v>
      </c>
      <c r="AQ95" t="s">
        <v>11</v>
      </c>
      <c r="AR95" t="s">
        <v>11</v>
      </c>
      <c r="AS95" t="s">
        <v>11</v>
      </c>
      <c r="AT95" t="s">
        <v>11</v>
      </c>
      <c r="AU95"/>
      <c r="AV95" t="s">
        <v>1123</v>
      </c>
      <c r="AW95" s="40">
        <v>45728</v>
      </c>
      <c r="AX95" t="s">
        <v>35</v>
      </c>
      <c r="AY95" s="9" t="s">
        <v>1049</v>
      </c>
      <c r="AZ95" s="12" t="s">
        <v>763</v>
      </c>
      <c r="BA95" s="12" t="s">
        <v>764</v>
      </c>
      <c r="BB95" s="38" t="s">
        <v>1098</v>
      </c>
    </row>
    <row r="96" spans="1:54" ht="129.1" x14ac:dyDescent="0.25">
      <c r="A96" t="s">
        <v>818</v>
      </c>
      <c r="B96" s="6" t="s">
        <v>819</v>
      </c>
      <c r="C96" t="s">
        <v>820</v>
      </c>
      <c r="D96">
        <v>2022</v>
      </c>
      <c r="E96" t="s">
        <v>821</v>
      </c>
      <c r="F96" s="6" t="s">
        <v>552</v>
      </c>
      <c r="G96" s="6" t="s">
        <v>45</v>
      </c>
      <c r="H96" s="13" t="s">
        <v>822</v>
      </c>
      <c r="I96" t="s">
        <v>232</v>
      </c>
      <c r="J96" t="s">
        <v>958</v>
      </c>
      <c r="K96" t="s">
        <v>958</v>
      </c>
      <c r="L96" s="9" t="s">
        <v>544</v>
      </c>
      <c r="M96" t="s">
        <v>945</v>
      </c>
      <c r="N96" s="11" t="s">
        <v>823</v>
      </c>
      <c r="O96" s="6" t="s">
        <v>229</v>
      </c>
      <c r="P96">
        <v>2018</v>
      </c>
      <c r="Q96">
        <v>2</v>
      </c>
      <c r="R96" t="s">
        <v>824</v>
      </c>
      <c r="S96" s="6" t="s">
        <v>246</v>
      </c>
      <c r="T96" t="s">
        <v>10</v>
      </c>
      <c r="V96" t="s">
        <v>11</v>
      </c>
      <c r="W96" t="s">
        <v>12</v>
      </c>
      <c r="X96" t="s">
        <v>231</v>
      </c>
      <c r="Y96">
        <v>1</v>
      </c>
      <c r="Z96">
        <v>48</v>
      </c>
      <c r="AA96" t="s">
        <v>11</v>
      </c>
      <c r="AC96" t="s">
        <v>11</v>
      </c>
      <c r="AD96" t="s">
        <v>80</v>
      </c>
      <c r="AE96" t="s">
        <v>81</v>
      </c>
      <c r="AF96" t="s">
        <v>11</v>
      </c>
      <c r="AG96" s="9" t="s">
        <v>11</v>
      </c>
      <c r="AH96"/>
      <c r="AI96" s="10" t="s">
        <v>18</v>
      </c>
      <c r="AJ96" s="11" t="s">
        <v>11</v>
      </c>
      <c r="AK96" s="11" t="s">
        <v>11</v>
      </c>
      <c r="AL96" t="s">
        <v>11</v>
      </c>
      <c r="AM96" s="9" t="s">
        <v>11</v>
      </c>
      <c r="AN96" s="10" t="s">
        <v>18</v>
      </c>
      <c r="AO96" t="s">
        <v>11</v>
      </c>
      <c r="AP96" t="s">
        <v>11</v>
      </c>
      <c r="AQ96" t="s">
        <v>11</v>
      </c>
      <c r="AR96" t="s">
        <v>11</v>
      </c>
      <c r="AS96" t="s">
        <v>11</v>
      </c>
      <c r="AT96" t="s">
        <v>18</v>
      </c>
      <c r="AU96"/>
      <c r="AV96" t="s">
        <v>1123</v>
      </c>
      <c r="AW96" s="40">
        <v>45728</v>
      </c>
      <c r="AX96" t="s">
        <v>35</v>
      </c>
      <c r="AY96" s="9" t="s">
        <v>1049</v>
      </c>
      <c r="AZ96" s="35" t="s">
        <v>825</v>
      </c>
      <c r="BA96" s="35" t="s">
        <v>826</v>
      </c>
      <c r="BB96" s="35" t="s">
        <v>827</v>
      </c>
    </row>
    <row r="97" spans="1:54" ht="35.35" customHeight="1" x14ac:dyDescent="0.25">
      <c r="A97" t="s">
        <v>85</v>
      </c>
      <c r="B97" s="6" t="s">
        <v>86</v>
      </c>
      <c r="C97" t="s">
        <v>87</v>
      </c>
      <c r="D97">
        <v>2017</v>
      </c>
      <c r="E97" t="s">
        <v>88</v>
      </c>
      <c r="F97" s="6" t="s">
        <v>89</v>
      </c>
      <c r="G97" s="6" t="s">
        <v>90</v>
      </c>
      <c r="H97" s="13" t="s">
        <v>91</v>
      </c>
      <c r="I97" t="s">
        <v>14</v>
      </c>
      <c r="J97" s="6" t="s">
        <v>975</v>
      </c>
      <c r="K97" s="6" t="s">
        <v>975</v>
      </c>
      <c r="L97" t="s">
        <v>15</v>
      </c>
      <c r="M97" t="s">
        <v>945</v>
      </c>
      <c r="N97" s="6" t="s">
        <v>6</v>
      </c>
      <c r="O97" s="6" t="s">
        <v>7</v>
      </c>
      <c r="P97">
        <v>2005</v>
      </c>
      <c r="Q97">
        <v>4</v>
      </c>
      <c r="R97" s="20" t="s">
        <v>79</v>
      </c>
      <c r="S97" t="s">
        <v>9</v>
      </c>
      <c r="T97" t="s">
        <v>10</v>
      </c>
      <c r="V97" t="s">
        <v>11</v>
      </c>
      <c r="W97" t="s">
        <v>12</v>
      </c>
      <c r="X97" t="s">
        <v>13</v>
      </c>
      <c r="Y97">
        <v>35</v>
      </c>
      <c r="Z97" t="s">
        <v>11</v>
      </c>
      <c r="AA97">
        <v>3462</v>
      </c>
      <c r="AC97" t="s">
        <v>11</v>
      </c>
      <c r="AD97" t="s">
        <v>80</v>
      </c>
      <c r="AE97" t="s">
        <v>81</v>
      </c>
      <c r="AF97" t="s">
        <v>11</v>
      </c>
      <c r="AG97" s="9" t="s">
        <v>11</v>
      </c>
      <c r="AH97"/>
      <c r="AI97" s="10" t="s">
        <v>35</v>
      </c>
      <c r="AJ97" s="11" t="s">
        <v>92</v>
      </c>
      <c r="AK97" s="6" t="s">
        <v>93</v>
      </c>
      <c r="AL97" t="s">
        <v>94</v>
      </c>
      <c r="AM97" s="9" t="s">
        <v>95</v>
      </c>
      <c r="AN97" s="10" t="s">
        <v>18</v>
      </c>
      <c r="AO97" t="s">
        <v>11</v>
      </c>
      <c r="AP97" t="s">
        <v>11</v>
      </c>
      <c r="AQ97" t="s">
        <v>11</v>
      </c>
      <c r="AR97" t="s">
        <v>11</v>
      </c>
      <c r="AS97" t="s">
        <v>11</v>
      </c>
      <c r="AT97" t="s">
        <v>11</v>
      </c>
      <c r="AU97"/>
      <c r="AV97" t="s">
        <v>1123</v>
      </c>
      <c r="AW97" s="40">
        <v>45728</v>
      </c>
      <c r="AX97" t="s">
        <v>35</v>
      </c>
      <c r="AY97" s="9" t="s">
        <v>1055</v>
      </c>
      <c r="AZ97" s="38" t="s">
        <v>1103</v>
      </c>
      <c r="BA97" s="38" t="s">
        <v>1104</v>
      </c>
      <c r="BB97" s="21"/>
    </row>
    <row r="98" spans="1:54" ht="142" x14ac:dyDescent="0.25">
      <c r="A98" t="s">
        <v>126</v>
      </c>
      <c r="B98" s="6" t="s">
        <v>127</v>
      </c>
      <c r="C98" t="s">
        <v>128</v>
      </c>
      <c r="D98">
        <v>2021</v>
      </c>
      <c r="E98" t="s">
        <v>129</v>
      </c>
      <c r="F98" s="6" t="s">
        <v>130</v>
      </c>
      <c r="G98" s="6" t="s">
        <v>90</v>
      </c>
      <c r="H98" s="13" t="s">
        <v>131</v>
      </c>
      <c r="I98" t="s">
        <v>14</v>
      </c>
      <c r="J98" t="s">
        <v>137</v>
      </c>
      <c r="K98" t="s">
        <v>943</v>
      </c>
      <c r="L98" t="s">
        <v>138</v>
      </c>
      <c r="M98" t="s">
        <v>945</v>
      </c>
      <c r="N98" s="6" t="s">
        <v>132</v>
      </c>
      <c r="O98" s="6" t="s">
        <v>7</v>
      </c>
      <c r="P98" s="6" t="s">
        <v>133</v>
      </c>
      <c r="Q98" s="6">
        <v>6</v>
      </c>
      <c r="R98" s="20" t="s">
        <v>134</v>
      </c>
      <c r="S98" s="6" t="s">
        <v>9</v>
      </c>
      <c r="T98" t="s">
        <v>152</v>
      </c>
      <c r="U98" t="s">
        <v>979</v>
      </c>
      <c r="V98" t="s">
        <v>955</v>
      </c>
      <c r="W98" t="s">
        <v>12</v>
      </c>
      <c r="X98" t="s">
        <v>13</v>
      </c>
      <c r="Y98" t="s">
        <v>135</v>
      </c>
      <c r="Z98" s="6" t="s">
        <v>11</v>
      </c>
      <c r="AA98" t="s">
        <v>11</v>
      </c>
      <c r="AB98" t="s">
        <v>11</v>
      </c>
      <c r="AC98" s="8" t="s">
        <v>136</v>
      </c>
      <c r="AD98" t="s">
        <v>80</v>
      </c>
      <c r="AE98" t="s">
        <v>81</v>
      </c>
      <c r="AF98" t="s">
        <v>11</v>
      </c>
      <c r="AG98" t="s">
        <v>11</v>
      </c>
      <c r="AI98" s="10" t="s">
        <v>18</v>
      </c>
      <c r="AJ98" s="11" t="s">
        <v>139</v>
      </c>
      <c r="AK98" s="6" t="s">
        <v>140</v>
      </c>
      <c r="AL98" t="s">
        <v>11</v>
      </c>
      <c r="AM98" t="s">
        <v>141</v>
      </c>
      <c r="AN98" s="10" t="s">
        <v>35</v>
      </c>
      <c r="AO98" t="s">
        <v>184</v>
      </c>
      <c r="AP98" t="s">
        <v>143</v>
      </c>
      <c r="AQ98" t="s">
        <v>18</v>
      </c>
      <c r="AR98" t="s">
        <v>11</v>
      </c>
      <c r="AS98" t="s">
        <v>11</v>
      </c>
      <c r="AT98" t="s">
        <v>18</v>
      </c>
      <c r="AU98"/>
      <c r="AV98" t="s">
        <v>1123</v>
      </c>
      <c r="AW98" s="40">
        <v>45728</v>
      </c>
      <c r="AX98" t="s">
        <v>35</v>
      </c>
      <c r="AY98" s="9" t="s">
        <v>1056</v>
      </c>
      <c r="AZ98" s="35" t="s">
        <v>1102</v>
      </c>
      <c r="BA98" s="35" t="s">
        <v>144</v>
      </c>
      <c r="BB98" s="35" t="s">
        <v>145</v>
      </c>
    </row>
    <row r="99" spans="1:54" ht="42.8" x14ac:dyDescent="0.25">
      <c r="A99" t="s">
        <v>921</v>
      </c>
      <c r="I99" t="s">
        <v>14</v>
      </c>
      <c r="J99" t="s">
        <v>919</v>
      </c>
      <c r="K99" t="s">
        <v>919</v>
      </c>
      <c r="L99" t="s">
        <v>138</v>
      </c>
      <c r="M99" s="10" t="s">
        <v>945</v>
      </c>
      <c r="N99" s="6" t="s">
        <v>917</v>
      </c>
      <c r="O99" s="6" t="s">
        <v>7</v>
      </c>
      <c r="P99" s="6">
        <v>2010</v>
      </c>
      <c r="Q99" s="6">
        <v>6</v>
      </c>
      <c r="R99" s="20" t="s">
        <v>134</v>
      </c>
      <c r="S99" s="6" t="s">
        <v>9</v>
      </c>
      <c r="T99" t="s">
        <v>152</v>
      </c>
      <c r="U99" t="s">
        <v>979</v>
      </c>
      <c r="V99" t="s">
        <v>955</v>
      </c>
      <c r="W99" t="s">
        <v>12</v>
      </c>
      <c r="X99" t="s">
        <v>13</v>
      </c>
      <c r="Y99">
        <v>357</v>
      </c>
      <c r="Z99" s="6" t="s">
        <v>11</v>
      </c>
      <c r="AA99" t="s">
        <v>11</v>
      </c>
      <c r="AB99" t="s">
        <v>11</v>
      </c>
      <c r="AC99" s="8">
        <v>2397993</v>
      </c>
      <c r="AD99" t="s">
        <v>80</v>
      </c>
      <c r="AE99" t="s">
        <v>81</v>
      </c>
      <c r="AF99" t="s">
        <v>11</v>
      </c>
      <c r="AG99" s="9" t="s">
        <v>11</v>
      </c>
      <c r="AI99" s="10"/>
      <c r="AJ99" s="11" t="s">
        <v>139</v>
      </c>
      <c r="AK99" s="6" t="s">
        <v>140</v>
      </c>
      <c r="AL99" s="9" t="s">
        <v>11</v>
      </c>
      <c r="AM99" s="9" t="s">
        <v>141</v>
      </c>
      <c r="AN99" s="10" t="s">
        <v>35</v>
      </c>
      <c r="AO99" t="s">
        <v>184</v>
      </c>
      <c r="AP99" t="s">
        <v>143</v>
      </c>
      <c r="AQ99" t="s">
        <v>18</v>
      </c>
      <c r="AR99" t="s">
        <v>11</v>
      </c>
      <c r="AS99" t="s">
        <v>11</v>
      </c>
      <c r="AT99" t="s">
        <v>18</v>
      </c>
      <c r="AU99"/>
      <c r="AV99" t="s">
        <v>1123</v>
      </c>
      <c r="AW99"/>
      <c r="AX99" t="s">
        <v>35</v>
      </c>
      <c r="AY99" s="9" t="s">
        <v>1056</v>
      </c>
      <c r="AZ99" s="35"/>
      <c r="BA99" s="35"/>
      <c r="BB99" s="35"/>
    </row>
    <row r="100" spans="1:54" ht="42.8" x14ac:dyDescent="0.25">
      <c r="A100" t="s">
        <v>922</v>
      </c>
      <c r="I100" t="s">
        <v>14</v>
      </c>
      <c r="J100" t="s">
        <v>474</v>
      </c>
      <c r="K100" t="s">
        <v>474</v>
      </c>
      <c r="L100" t="s">
        <v>138</v>
      </c>
      <c r="M100" s="10" t="s">
        <v>945</v>
      </c>
      <c r="N100" s="6" t="s">
        <v>468</v>
      </c>
      <c r="O100" s="6" t="s">
        <v>7</v>
      </c>
      <c r="P100" s="6">
        <v>2010</v>
      </c>
      <c r="Q100" s="6">
        <v>6</v>
      </c>
      <c r="R100" s="20" t="s">
        <v>134</v>
      </c>
      <c r="S100" s="6" t="s">
        <v>9</v>
      </c>
      <c r="T100" t="s">
        <v>152</v>
      </c>
      <c r="U100" t="s">
        <v>979</v>
      </c>
      <c r="V100" t="s">
        <v>955</v>
      </c>
      <c r="W100" t="s">
        <v>12</v>
      </c>
      <c r="X100" t="s">
        <v>13</v>
      </c>
      <c r="Y100">
        <v>211</v>
      </c>
      <c r="Z100" s="6" t="s">
        <v>11</v>
      </c>
      <c r="AA100" t="s">
        <v>11</v>
      </c>
      <c r="AB100" t="s">
        <v>11</v>
      </c>
      <c r="AC100" s="8">
        <v>1268239</v>
      </c>
      <c r="AD100" t="s">
        <v>80</v>
      </c>
      <c r="AE100" t="s">
        <v>81</v>
      </c>
      <c r="AF100" t="s">
        <v>11</v>
      </c>
      <c r="AG100" t="s">
        <v>11</v>
      </c>
      <c r="AI100" s="10"/>
      <c r="AJ100" s="11" t="s">
        <v>139</v>
      </c>
      <c r="AK100" s="6" t="s">
        <v>140</v>
      </c>
      <c r="AL100" s="9" t="s">
        <v>11</v>
      </c>
      <c r="AM100" s="9" t="s">
        <v>141</v>
      </c>
      <c r="AN100" s="10" t="s">
        <v>35</v>
      </c>
      <c r="AO100" t="s">
        <v>184</v>
      </c>
      <c r="AP100" t="s">
        <v>143</v>
      </c>
      <c r="AQ100" t="s">
        <v>18</v>
      </c>
      <c r="AR100" t="s">
        <v>11</v>
      </c>
      <c r="AS100" t="s">
        <v>11</v>
      </c>
      <c r="AT100" t="s">
        <v>18</v>
      </c>
      <c r="AU100"/>
      <c r="AV100" t="s">
        <v>1123</v>
      </c>
      <c r="AW100"/>
      <c r="AX100" t="s">
        <v>35</v>
      </c>
      <c r="AY100" s="9" t="s">
        <v>1056</v>
      </c>
      <c r="AZ100" s="35"/>
      <c r="BA100" s="35"/>
      <c r="BB100" s="35"/>
    </row>
    <row r="101" spans="1:54" ht="42.8" x14ac:dyDescent="0.25">
      <c r="A101" t="s">
        <v>954</v>
      </c>
      <c r="I101" t="s">
        <v>14</v>
      </c>
      <c r="J101" t="s">
        <v>920</v>
      </c>
      <c r="K101" t="s">
        <v>920</v>
      </c>
      <c r="L101" t="s">
        <v>138</v>
      </c>
      <c r="M101" s="10" t="s">
        <v>945</v>
      </c>
      <c r="N101" s="6" t="s">
        <v>918</v>
      </c>
      <c r="O101" s="6" t="s">
        <v>7</v>
      </c>
      <c r="P101" s="6">
        <v>2011</v>
      </c>
      <c r="Q101" s="6">
        <v>6</v>
      </c>
      <c r="R101" s="20" t="s">
        <v>134</v>
      </c>
      <c r="S101" s="6" t="s">
        <v>9</v>
      </c>
      <c r="T101" t="s">
        <v>152</v>
      </c>
      <c r="U101" t="s">
        <v>979</v>
      </c>
      <c r="V101" t="s">
        <v>955</v>
      </c>
      <c r="W101" t="s">
        <v>12</v>
      </c>
      <c r="X101" t="s">
        <v>13</v>
      </c>
      <c r="Y101">
        <v>126</v>
      </c>
      <c r="Z101" s="6" t="s">
        <v>11</v>
      </c>
      <c r="AA101" t="s">
        <v>11</v>
      </c>
      <c r="AB101" t="s">
        <v>11</v>
      </c>
      <c r="AC101" s="8">
        <v>1410588</v>
      </c>
      <c r="AD101" t="s">
        <v>80</v>
      </c>
      <c r="AE101" t="s">
        <v>81</v>
      </c>
      <c r="AF101" t="s">
        <v>11</v>
      </c>
      <c r="AG101" t="s">
        <v>11</v>
      </c>
      <c r="AI101" s="10"/>
      <c r="AJ101" s="11" t="s">
        <v>139</v>
      </c>
      <c r="AK101" s="6" t="s">
        <v>140</v>
      </c>
      <c r="AL101" s="9" t="s">
        <v>11</v>
      </c>
      <c r="AM101" s="9" t="s">
        <v>141</v>
      </c>
      <c r="AN101" s="10" t="s">
        <v>35</v>
      </c>
      <c r="AO101" t="s">
        <v>184</v>
      </c>
      <c r="AP101" t="s">
        <v>143</v>
      </c>
      <c r="AQ101" t="s">
        <v>18</v>
      </c>
      <c r="AR101" t="s">
        <v>11</v>
      </c>
      <c r="AS101" t="s">
        <v>11</v>
      </c>
      <c r="AT101" t="s">
        <v>18</v>
      </c>
      <c r="AU101"/>
      <c r="AV101" t="s">
        <v>1123</v>
      </c>
      <c r="AW101"/>
      <c r="AX101" t="s">
        <v>35</v>
      </c>
      <c r="AY101" s="9" t="s">
        <v>1056</v>
      </c>
      <c r="AZ101" s="35"/>
      <c r="BA101" s="35"/>
      <c r="BB101" s="35"/>
    </row>
    <row r="102" spans="1:54" ht="71.349999999999994" x14ac:dyDescent="0.25">
      <c r="A102" t="s">
        <v>146</v>
      </c>
      <c r="B102" s="6" t="s">
        <v>147</v>
      </c>
      <c r="C102" t="s">
        <v>148</v>
      </c>
      <c r="D102">
        <v>2024</v>
      </c>
      <c r="E102" t="s">
        <v>149</v>
      </c>
      <c r="F102" s="6" t="s">
        <v>150</v>
      </c>
      <c r="G102" s="6" t="s">
        <v>150</v>
      </c>
      <c r="H102" s="13" t="s">
        <v>151</v>
      </c>
      <c r="I102" t="s">
        <v>14</v>
      </c>
      <c r="J102" t="s">
        <v>137</v>
      </c>
      <c r="K102" t="s">
        <v>943</v>
      </c>
      <c r="L102" t="s">
        <v>138</v>
      </c>
      <c r="M102" s="10" t="s">
        <v>945</v>
      </c>
      <c r="N102" s="6" t="s">
        <v>132</v>
      </c>
      <c r="O102" s="6" t="s">
        <v>7</v>
      </c>
      <c r="P102">
        <v>2010</v>
      </c>
      <c r="Q102" s="6">
        <v>7</v>
      </c>
      <c r="R102" s="20" t="s">
        <v>134</v>
      </c>
      <c r="S102" s="6" t="s">
        <v>9</v>
      </c>
      <c r="T102" t="s">
        <v>152</v>
      </c>
      <c r="U102" t="s">
        <v>979</v>
      </c>
      <c r="V102" t="s">
        <v>116</v>
      </c>
      <c r="W102" t="s">
        <v>12</v>
      </c>
      <c r="X102" t="s">
        <v>13</v>
      </c>
      <c r="Y102" t="s">
        <v>135</v>
      </c>
      <c r="Z102" t="s">
        <v>11</v>
      </c>
      <c r="AA102" t="s">
        <v>11</v>
      </c>
      <c r="AB102" t="s">
        <v>11</v>
      </c>
      <c r="AC102" s="8" t="s">
        <v>153</v>
      </c>
      <c r="AD102" t="s">
        <v>80</v>
      </c>
      <c r="AE102" t="s">
        <v>81</v>
      </c>
      <c r="AF102" t="s">
        <v>11</v>
      </c>
      <c r="AG102" t="s">
        <v>11</v>
      </c>
      <c r="AI102" s="10" t="s">
        <v>18</v>
      </c>
      <c r="AJ102" s="11" t="s">
        <v>154</v>
      </c>
      <c r="AK102" s="6" t="s">
        <v>155</v>
      </c>
      <c r="AL102" s="9" t="s">
        <v>11</v>
      </c>
      <c r="AM102" s="9" t="s">
        <v>11</v>
      </c>
      <c r="AN102" s="10" t="s">
        <v>35</v>
      </c>
      <c r="AO102" t="s">
        <v>142</v>
      </c>
      <c r="AP102" t="s">
        <v>156</v>
      </c>
      <c r="AQ102" t="s">
        <v>18</v>
      </c>
      <c r="AR102" t="s">
        <v>11</v>
      </c>
      <c r="AS102" t="s">
        <v>11</v>
      </c>
      <c r="AT102" t="s">
        <v>18</v>
      </c>
      <c r="AU102"/>
      <c r="AV102" t="s">
        <v>1123</v>
      </c>
      <c r="AW102" s="40">
        <v>45728</v>
      </c>
      <c r="AX102" t="s">
        <v>35</v>
      </c>
      <c r="AY102" s="9" t="s">
        <v>1049</v>
      </c>
      <c r="AZ102" s="35" t="s">
        <v>1099</v>
      </c>
      <c r="BA102" s="35" t="s">
        <v>1100</v>
      </c>
      <c r="BB102" s="35" t="s">
        <v>1101</v>
      </c>
    </row>
    <row r="103" spans="1:54" x14ac:dyDescent="0.25">
      <c r="A103" t="s">
        <v>923</v>
      </c>
      <c r="I103" t="s">
        <v>14</v>
      </c>
      <c r="J103" t="s">
        <v>919</v>
      </c>
      <c r="K103" t="s">
        <v>919</v>
      </c>
      <c r="L103" t="s">
        <v>138</v>
      </c>
      <c r="M103" s="10" t="s">
        <v>945</v>
      </c>
      <c r="N103" s="6" t="s">
        <v>917</v>
      </c>
      <c r="O103" s="6" t="s">
        <v>7</v>
      </c>
      <c r="P103">
        <v>2010</v>
      </c>
      <c r="Q103" s="6">
        <v>7</v>
      </c>
      <c r="R103" s="20" t="s">
        <v>134</v>
      </c>
      <c r="S103" s="6" t="s">
        <v>9</v>
      </c>
      <c r="T103" t="s">
        <v>152</v>
      </c>
      <c r="U103" t="s">
        <v>979</v>
      </c>
      <c r="V103" t="s">
        <v>116</v>
      </c>
      <c r="W103" t="s">
        <v>12</v>
      </c>
      <c r="X103" t="s">
        <v>13</v>
      </c>
      <c r="Y103">
        <v>357</v>
      </c>
      <c r="Z103" s="6" t="s">
        <v>11</v>
      </c>
      <c r="AA103" t="s">
        <v>11</v>
      </c>
      <c r="AB103" t="s">
        <v>11</v>
      </c>
      <c r="AC103" s="8">
        <v>7590768</v>
      </c>
      <c r="AD103" t="s">
        <v>80</v>
      </c>
      <c r="AE103" t="s">
        <v>81</v>
      </c>
      <c r="AF103" t="s">
        <v>11</v>
      </c>
      <c r="AG103" t="s">
        <v>11</v>
      </c>
      <c r="AI103" s="10"/>
      <c r="AJ103" s="11" t="s">
        <v>154</v>
      </c>
      <c r="AK103" s="6" t="s">
        <v>155</v>
      </c>
      <c r="AL103" s="9" t="s">
        <v>11</v>
      </c>
      <c r="AM103" s="9" t="s">
        <v>11</v>
      </c>
      <c r="AN103" s="10" t="s">
        <v>35</v>
      </c>
      <c r="AO103" t="s">
        <v>142</v>
      </c>
      <c r="AP103" t="s">
        <v>156</v>
      </c>
      <c r="AQ103" t="s">
        <v>18</v>
      </c>
      <c r="AR103" t="s">
        <v>11</v>
      </c>
      <c r="AS103" t="s">
        <v>11</v>
      </c>
      <c r="AT103" t="s">
        <v>18</v>
      </c>
      <c r="AU103"/>
      <c r="AV103" t="s">
        <v>1123</v>
      </c>
      <c r="AW103"/>
      <c r="AX103" t="s">
        <v>35</v>
      </c>
      <c r="AY103" s="9" t="s">
        <v>1049</v>
      </c>
      <c r="AZ103" s="35"/>
      <c r="BA103" s="35"/>
      <c r="BB103" s="35"/>
    </row>
    <row r="104" spans="1:54" x14ac:dyDescent="0.25">
      <c r="A104" t="s">
        <v>924</v>
      </c>
      <c r="I104" t="s">
        <v>14</v>
      </c>
      <c r="J104" t="s">
        <v>474</v>
      </c>
      <c r="K104" t="s">
        <v>474</v>
      </c>
      <c r="L104" t="s">
        <v>138</v>
      </c>
      <c r="M104" s="10" t="s">
        <v>945</v>
      </c>
      <c r="N104" s="11" t="s">
        <v>468</v>
      </c>
      <c r="O104" s="6" t="s">
        <v>7</v>
      </c>
      <c r="P104">
        <v>2010</v>
      </c>
      <c r="Q104" s="6">
        <v>7</v>
      </c>
      <c r="R104" s="20" t="s">
        <v>134</v>
      </c>
      <c r="S104" s="6" t="s">
        <v>9</v>
      </c>
      <c r="T104" t="s">
        <v>152</v>
      </c>
      <c r="U104" t="s">
        <v>979</v>
      </c>
      <c r="V104" t="s">
        <v>116</v>
      </c>
      <c r="W104" t="s">
        <v>12</v>
      </c>
      <c r="X104" t="s">
        <v>13</v>
      </c>
      <c r="Y104">
        <v>211</v>
      </c>
      <c r="Z104" s="6" t="s">
        <v>11</v>
      </c>
      <c r="AA104" t="s">
        <v>11</v>
      </c>
      <c r="AB104" t="s">
        <v>11</v>
      </c>
      <c r="AC104" s="8">
        <v>4287973</v>
      </c>
      <c r="AD104" t="s">
        <v>80</v>
      </c>
      <c r="AE104" t="s">
        <v>81</v>
      </c>
      <c r="AF104" t="s">
        <v>11</v>
      </c>
      <c r="AG104" s="9" t="s">
        <v>11</v>
      </c>
      <c r="AI104" s="10"/>
      <c r="AJ104" s="11" t="s">
        <v>154</v>
      </c>
      <c r="AK104" s="6" t="s">
        <v>155</v>
      </c>
      <c r="AL104" s="9" t="s">
        <v>11</v>
      </c>
      <c r="AM104" s="9" t="s">
        <v>11</v>
      </c>
      <c r="AN104" s="10" t="s">
        <v>35</v>
      </c>
      <c r="AO104" t="s">
        <v>142</v>
      </c>
      <c r="AP104" t="s">
        <v>156</v>
      </c>
      <c r="AQ104" t="s">
        <v>18</v>
      </c>
      <c r="AR104" t="s">
        <v>11</v>
      </c>
      <c r="AS104" t="s">
        <v>11</v>
      </c>
      <c r="AT104" t="s">
        <v>18</v>
      </c>
      <c r="AU104"/>
      <c r="AV104" t="s">
        <v>1123</v>
      </c>
      <c r="AW104"/>
      <c r="AX104" t="s">
        <v>35</v>
      </c>
      <c r="AY104" s="9" t="s">
        <v>1049</v>
      </c>
      <c r="AZ104" s="35"/>
      <c r="BA104" s="35"/>
      <c r="BB104" s="35"/>
    </row>
    <row r="105" spans="1:54" x14ac:dyDescent="0.25">
      <c r="A105" t="s">
        <v>925</v>
      </c>
      <c r="H105" s="6"/>
      <c r="I105" t="s">
        <v>14</v>
      </c>
      <c r="J105" t="s">
        <v>920</v>
      </c>
      <c r="K105" t="s">
        <v>920</v>
      </c>
      <c r="L105" t="s">
        <v>138</v>
      </c>
      <c r="M105" s="10" t="s">
        <v>945</v>
      </c>
      <c r="N105" s="6" t="s">
        <v>918</v>
      </c>
      <c r="O105" s="6" t="s">
        <v>7</v>
      </c>
      <c r="P105">
        <v>2010</v>
      </c>
      <c r="Q105" s="6">
        <v>7</v>
      </c>
      <c r="R105" s="20" t="s">
        <v>134</v>
      </c>
      <c r="S105" s="6" t="s">
        <v>9</v>
      </c>
      <c r="T105" t="s">
        <v>152</v>
      </c>
      <c r="U105" t="s">
        <v>979</v>
      </c>
      <c r="V105" t="s">
        <v>116</v>
      </c>
      <c r="W105" t="s">
        <v>12</v>
      </c>
      <c r="X105" t="s">
        <v>13</v>
      </c>
      <c r="Y105">
        <v>126</v>
      </c>
      <c r="Z105" s="6" t="s">
        <v>11</v>
      </c>
      <c r="AA105" t="s">
        <v>11</v>
      </c>
      <c r="AB105" t="s">
        <v>11</v>
      </c>
      <c r="AC105" s="8">
        <v>3339086</v>
      </c>
      <c r="AD105" t="s">
        <v>80</v>
      </c>
      <c r="AE105" t="s">
        <v>81</v>
      </c>
      <c r="AF105" t="s">
        <v>11</v>
      </c>
      <c r="AG105" s="9" t="s">
        <v>11</v>
      </c>
      <c r="AI105" s="10"/>
      <c r="AJ105" s="11" t="s">
        <v>154</v>
      </c>
      <c r="AK105" s="6" t="s">
        <v>155</v>
      </c>
      <c r="AL105" s="9" t="s">
        <v>11</v>
      </c>
      <c r="AM105" s="9" t="s">
        <v>11</v>
      </c>
      <c r="AN105" s="10" t="s">
        <v>35</v>
      </c>
      <c r="AO105" t="s">
        <v>142</v>
      </c>
      <c r="AP105" t="s">
        <v>156</v>
      </c>
      <c r="AQ105" t="s">
        <v>18</v>
      </c>
      <c r="AR105" t="s">
        <v>11</v>
      </c>
      <c r="AS105" t="s">
        <v>11</v>
      </c>
      <c r="AT105" t="s">
        <v>18</v>
      </c>
      <c r="AU105"/>
      <c r="AV105" t="s">
        <v>1123</v>
      </c>
      <c r="AW105"/>
      <c r="AX105" t="s">
        <v>35</v>
      </c>
      <c r="AY105" s="9" t="s">
        <v>1049</v>
      </c>
      <c r="AZ105" s="35"/>
      <c r="BA105" s="35"/>
      <c r="BB105" s="35"/>
    </row>
  </sheetData>
  <phoneticPr fontId="9"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hodbert</dc:creator>
  <cp:lastModifiedBy>HODBERT Elise</cp:lastModifiedBy>
  <dcterms:created xsi:type="dcterms:W3CDTF">2015-06-05T18:19:34Z</dcterms:created>
  <dcterms:modified xsi:type="dcterms:W3CDTF">2026-05-31T18:21:05Z</dcterms:modified>
</cp:coreProperties>
</file>