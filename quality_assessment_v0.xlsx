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odbert-e\Documents\GitHub\systematic_review_final\"/>
    </mc:Choice>
  </mc:AlternateContent>
  <xr:revisionPtr revIDLastSave="0" documentId="8_{1B90F320-1471-44B5-BFC0-489BF2546EDA}" xr6:coauthVersionLast="47" xr6:coauthVersionMax="47" xr10:uidLastSave="{00000000-0000-0000-0000-000000000000}"/>
  <bookViews>
    <workbookView xWindow="-109" yWindow="-109" windowWidth="26301" windowHeight="14169" xr2:uid="{00000000-000D-0000-FFFF-FFFF00000000}"/>
  </bookViews>
  <sheets>
    <sheet name="Grille d'extraction " sheetId="1" r:id="rId1"/>
    <sheet name="Papiers groupe de patient" sheetId="3" r:id="rId2"/>
    <sheet name="Dictionnaire de variables" sheetId="2" r:id="rId3"/>
    <sheet name="Papiers exclus finalement" sheetId="4" r:id="rId4"/>
  </sheets>
  <definedNames>
    <definedName name="_xlnm._FilterDatabase" localSheetId="0" hidden="1">'Grille d''extraction '!$A$1:$F$73</definedName>
    <definedName name="_xlnm._FilterDatabase" localSheetId="1" hidden="1">'Papiers groupe de patient'!$A$1:$AV$1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tc={FCC5C233-E594-49E2-9B2B-65CF6A0CF9C2}</author>
  </authors>
  <commentList>
    <comment ref="F1" authorId="0" shapeId="0" xr:uid="{FCC5C233-E594-49E2-9B2B-65CF6A0CF9C2}">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tc={FCC5C233-E594-49E3-9B2B-65CF6A0CF9C2}</author>
    <author>tc={30094996-D1B4-43C5-841F-AEB96D8DBC02}</author>
    <author>tc={47AB4B16-5E9A-4812-8C95-F0D93526E39F}</author>
    <author>tc={DD57070E-3E8B-4353-BA29-D5A1D0948537}</author>
    <author>tc={2035E798-4905-4B1E-9E60-B1D743A2C853}</author>
    <author>tc={589F5891-96C8-4A34-93E0-AB4297675410}</author>
    <author>tc={5BA08185-06E2-4B8C-ADFD-A2365972989D}</author>
    <author>tc={0F5ECE53-321A-4F93-A74E-B3A18664052F}</author>
  </authors>
  <commentList>
    <comment ref="J1" authorId="0" shapeId="0" xr:uid="{5FD57C97-F51C-46D9-A057-4AA8369D353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r>
      </text>
    </comment>
    <comment ref="K1" authorId="1" shapeId="0" xr:uid="{B945D3EA-A4A8-47F5-8D5D-48A30C4D44E1}">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Un même article pourra avoir plusieurs objectifs... </t>
        </r>
      </text>
    </comment>
    <comment ref="L1" authorId="2" shapeId="0" xr:uid="{B35DAD09-41F5-4448-81BC-C96623DCB719}">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clarifier, vous voulez indiquer ici de quel réseau il s'agit pour qu'on voie que plusieurs papiers s'appuient sur le même ? Je suis d'accord mais il faut changer l'appellation.</t>
        </r>
      </text>
    </comment>
    <comment ref="M1" authorId="3" shapeId="0" xr:uid="{B332BCEE-4F65-441A-8600-A1C3DC90256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Trop vague. Je mettrais : "source de données sur les transferts de patients" (ex. données administratives, électroniques, déclaratives...) ?</t>
        </r>
      </text>
    </comment>
    <comment ref="S1" authorId="4" shapeId="0" xr:uid="{8E74B2E7-10FD-4A78-AE6F-410AC96A25CF}">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Ajouter une colonne "nombre de sites géographiques" ?</t>
        </r>
      </text>
    </comment>
    <comment ref="Z1" authorId="5" shapeId="0" xr:uid="{66FEA422-1608-4EB5-835F-39ACAF4FB8BD}">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Local aussi</t>
        </r>
      </text>
    </comment>
    <comment ref="AB1" authorId="6" shapeId="0" xr:uid="{E792622E-595E-47AB-8F65-DA0308821D0C}">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peut distinguer le pays des données et la nationalité du premier (ou corresponding) auteur</t>
        </r>
      </text>
    </comment>
    <comment ref="AI1" authorId="7" shapeId="0" xr:uid="{88CDEE6C-56D8-4436-A4E9-4193A790366E}">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C'est vague, vous mettez quoi là dedans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tc={FCC5C233-E594-49E4-9B2B-65CF6A0CF9C2}</author>
    <author>tc={30094996-D1B4-43C6-841F-AEB96D8DBC02}</author>
    <author>tc={47AB4B16-5E9A-4813-8C95-F0D93526E39F}</author>
    <author>tc={DD57070E-3E8B-4354-BA29-D5A1D0948537}</author>
    <author>tc={2035E798-4905-4B1F-9E60-B1D743A2C853}</author>
    <author>tc={589F5891-96C8-4A35-93E0-AB4297675410}</author>
    <author>tc={5BA08185-06E2-4B8D-ADFD-A2365972989D}</author>
    <author>tc={0F5ECE53-321A-4F94-A74E-B3A18664052F}</author>
  </authors>
  <commentList>
    <comment ref="I1" authorId="0" shapeId="0" xr:uid="{D01E2DC2-B884-4511-B793-22601C095FE7}">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r>
      </text>
    </comment>
    <comment ref="J1" authorId="1" shapeId="0" xr:uid="{135CF34E-8974-46E6-AF32-B9618168DFE2}">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Un même article pourra avoir plusieurs objectifs... </t>
        </r>
      </text>
    </comment>
    <comment ref="K1" authorId="2" shapeId="0" xr:uid="{F461E993-A778-49C3-9942-B179B3C4B0D9}">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clarifier, vous voulez indiquer ici de quel réseau il s'agit pour qu'on voie que plusieurs papiers s'appuient sur le même ? Je suis d'accord mais il faut changer l'appellation.</t>
        </r>
      </text>
    </comment>
    <comment ref="L1" authorId="3" shapeId="0" xr:uid="{85B11E54-6018-4305-B100-D7412B7B6C91}">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Trop vague. Je mettrais : "source de données sur les transferts de patients" (ex. données administratives, électroniques, déclaratives...) ?</t>
        </r>
      </text>
    </comment>
    <comment ref="R1" authorId="4" shapeId="0" xr:uid="{2A1B0924-1D96-4044-9B67-3329148ACD31}">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Ajouter une colonne "nombre de sites géographiques" ?</t>
        </r>
      </text>
    </comment>
    <comment ref="X1" authorId="5" shapeId="0" xr:uid="{0C236737-CFD8-4297-8D74-8A5E220B1E17}">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Local aussi</t>
        </r>
      </text>
    </comment>
    <comment ref="Z1" authorId="6" shapeId="0" xr:uid="{197B5513-10D0-43D7-A41C-CEDD4993E001}">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peut distinguer le pays des données et la nationalité du premier (ou corresponding) auteur</t>
        </r>
      </text>
    </comment>
    <comment ref="AG1" authorId="7" shapeId="0" xr:uid="{36FABA06-573D-49C0-A3F9-439B21809795}">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C'est vague, vous mettez quoi là dedans ?</t>
        </r>
      </text>
    </comment>
  </commentList>
</comments>
</file>

<file path=xl/sharedStrings.xml><?xml version="1.0" encoding="utf-8"?>
<sst xmlns="http://schemas.openxmlformats.org/spreadsheetml/2006/main" count="2005" uniqueCount="765">
  <si>
    <t>Notes</t>
  </si>
  <si>
    <t>National</t>
  </si>
  <si>
    <t>Etat</t>
  </si>
  <si>
    <t>Nom du réseau (construction de la variable : nomreseau_auteur_année)</t>
  </si>
  <si>
    <t>doi</t>
  </si>
  <si>
    <t>author_date</t>
  </si>
  <si>
    <t>Title</t>
  </si>
  <si>
    <t>Authors</t>
  </si>
  <si>
    <t>Year of publication</t>
  </si>
  <si>
    <t>Journal</t>
  </si>
  <si>
    <t>Subject category, à partir du nom du journal</t>
  </si>
  <si>
    <t>Objectif de l'article</t>
  </si>
  <si>
    <t>Nom de la base de données</t>
  </si>
  <si>
    <t>Source de données sur les transferts de patients</t>
  </si>
  <si>
    <t>Start year of patient transfer data collection</t>
  </si>
  <si>
    <t>Time range of patient transfer data</t>
  </si>
  <si>
    <t>Transfert direct ou indirect ?</t>
  </si>
  <si>
    <t>Si transferts indirects, délai maximal entre les séjours de patients</t>
  </si>
  <si>
    <t>Types d'établissements de santé</t>
  </si>
  <si>
    <t>Nombre d'établissements</t>
  </si>
  <si>
    <t>Nombre de sites géographiques (si différent)</t>
  </si>
  <si>
    <t>Nombre de services</t>
  </si>
  <si>
    <t xml:space="preserve">Inter ou intra-hospitalier ? </t>
  </si>
  <si>
    <t>Nombre de transferts total au sein du réseau</t>
  </si>
  <si>
    <t>Echelle du réseau</t>
  </si>
  <si>
    <t>Nom hôpital/ville/région (?)</t>
  </si>
  <si>
    <t>Pays</t>
  </si>
  <si>
    <t>Temporalité : réseau statique ou dynamique ?</t>
  </si>
  <si>
    <t>Si statique, agrégé ou moyenné ?</t>
  </si>
  <si>
    <t>Si moyenné, sur quelle période?</t>
  </si>
  <si>
    <t>Si dynamique, à quelle échelle de temps (hebdo, mensuel, etc.) ?</t>
  </si>
  <si>
    <t>Ciblage de groupes de patients spécifiques ?</t>
  </si>
  <si>
    <t>Si oui, lesquels ?</t>
  </si>
  <si>
    <t>Descriptive analyses of the network</t>
  </si>
  <si>
    <t>Regression analyses</t>
  </si>
  <si>
    <t>Additional analyses</t>
  </si>
  <si>
    <t>Développement d'un modèle de propagation sur le réseau ? (oui/non)</t>
  </si>
  <si>
    <t>Si oui, type de modèle</t>
  </si>
  <si>
    <t>Si oui, sujet d'application</t>
  </si>
  <si>
    <t xml:space="preserve">Si oui, interventions explorées ? </t>
  </si>
  <si>
    <t>Si oui, lesquelles ?</t>
  </si>
  <si>
    <t>Couplage avec des données épidémio ?</t>
  </si>
  <si>
    <t>Trouvé comment?</t>
  </si>
  <si>
    <t>Key conclusions</t>
  </si>
  <si>
    <t>Fait</t>
  </si>
  <si>
    <t>Alexopoulos_2015</t>
  </si>
  <si>
    <t>Monitoring interhospital transfers in Western Greece during 2003-2011 : its role in health policy</t>
  </si>
  <si>
    <t>Alexopoulos EC; Kalyva A; Merekoulias G; Niakas D</t>
  </si>
  <si>
    <t>Rural and Remote Health</t>
  </si>
  <si>
    <t>Direct</t>
  </si>
  <si>
    <t>NA</t>
  </si>
  <si>
    <t>Hospitals only</t>
  </si>
  <si>
    <t>Interfacility</t>
  </si>
  <si>
    <t>Regional</t>
  </si>
  <si>
    <t>statique</t>
  </si>
  <si>
    <t>no</t>
  </si>
  <si>
    <t>Equation de recherche</t>
  </si>
  <si>
    <t>oui</t>
  </si>
  <si>
    <t>Bartolucci_2023</t>
  </si>
  <si>
    <t>Temporal analysis of hospital network data by hierarchical Bayesian p2 models with covariates</t>
  </si>
  <si>
    <t>Bartolucci, F.; Donni, P.L.; Mira, A.</t>
  </si>
  <si>
    <t>Journal of the Royal Statistical Society</t>
  </si>
  <si>
    <t>?</t>
  </si>
  <si>
    <t>5 years</t>
  </si>
  <si>
    <t>yes</t>
  </si>
  <si>
    <t>The spread and control of norovirus outbreaks among hospitals in a region : a simulation model</t>
  </si>
  <si>
    <t>Bartsch SM; Huang SS; Wong KF; Avery TR; Lee BY</t>
  </si>
  <si>
    <t>Open Forum Infectious Diseases</t>
  </si>
  <si>
    <t>USA</t>
  </si>
  <si>
    <t>dynamique</t>
  </si>
  <si>
    <t>Bean_2017</t>
  </si>
  <si>
    <t>Network analysis of patient flow in two UK acute care hospitals identifies key sub-networks for A&amp;E performance</t>
  </si>
  <si>
    <t>Bean DM; Stringer C; Beeknoo N; Teo J; Dobson RJB</t>
  </si>
  <si>
    <t>PLoS One</t>
  </si>
  <si>
    <t>Hospitals</t>
  </si>
  <si>
    <t>Bergmark_2023</t>
  </si>
  <si>
    <t>Association of hospital centrality in inter-hospital patient-sharing networks with patient mortality and length of stay</t>
  </si>
  <si>
    <t>Bergmark RW; Jin G; Semco RS; Santolini M; Olsen MA; Dhand A</t>
  </si>
  <si>
    <t>1 year</t>
  </si>
  <si>
    <t>Indirect</t>
  </si>
  <si>
    <t>agrégé</t>
  </si>
  <si>
    <t>PACA_Boyer_2005</t>
  </si>
  <si>
    <t>Boyer_2005</t>
  </si>
  <si>
    <t>Analysis of transfer from one hospital to another in patients with myocardial infarction in the Provence-Alpes-Côte-d'Azur</t>
  </si>
  <si>
    <t>Boyer L; Chanut C; Horte C; Mabriez JC; Auquier P</t>
  </si>
  <si>
    <t>Annales de Cardiologie et d'Angéiologie</t>
  </si>
  <si>
    <t>Journal destiné aux praticiens cardiologues et anéiologues (traite de neurologie et radiologie vasculaires, hémostase, diabétologie, médecine interne, épidémiolgoie et prévention)</t>
  </si>
  <si>
    <t>Analyser les transferts entre les différents établissements du système de santé identifiés dans la région Provence-Alpes-Côte-d'Azur dans le cadre de la prise en charge de l'infarctus du myocarde</t>
  </si>
  <si>
    <t>Programme de Médicalisation des Systèmes d'Information (PMSI)</t>
  </si>
  <si>
    <t>Etude rétrospective mise en place par le service médical régional de l'assurance maladie de la région PACA</t>
  </si>
  <si>
    <t>date de sortie comprise entre le 1er janvier et le 30 juin 2000</t>
  </si>
  <si>
    <t>Etablissements de santé privés et publics</t>
  </si>
  <si>
    <t>2049 (nb de patients total. A voir si parfois j'ai pris le nb total de patients transférés, et d'uatres fois le nombre total de patients tout court)</t>
  </si>
  <si>
    <t>PACA+Monaco</t>
  </si>
  <si>
    <t>France</t>
  </si>
  <si>
    <t>Patients hospitalisés pour la prise en charge d'un infarctus aigu du myocarde</t>
  </si>
  <si>
    <t>analyse descriptive : densité ; centralité (= ++si les patients y vont en première intention et les établissements les adressent dans un autre étab avec plateau technique) et prestige de degré (=++ si les centres de proximité lui adressent des patients)</t>
  </si>
  <si>
    <t>analyse multivariée : déterminer les facteurs de décès lors de l'hospitalisation</t>
  </si>
  <si>
    <t>Bush_2019</t>
  </si>
  <si>
    <r>
      <t xml:space="preserve">Predicting hospital-onset </t>
    </r>
    <r>
      <rPr>
        <i/>
        <sz val="11"/>
        <color theme="1"/>
        <rFont val="Calibri"/>
        <family val="2"/>
        <scheme val="minor"/>
      </rPr>
      <t>Clostridium difficile</t>
    </r>
    <r>
      <rPr>
        <sz val="11"/>
        <color theme="1"/>
        <rFont val="Calibri"/>
        <family val="2"/>
        <scheme val="minor"/>
      </rPr>
      <t xml:space="preserve"> using patient mobility data: A network approach</t>
    </r>
  </si>
  <si>
    <t>Bush K; Barbosa H; Farooq S; Weisenthal SJ; Trayhan M; White RJ; Noyes EI; Ghoshal G; Zand MS</t>
  </si>
  <si>
    <t>Infection Control and Hospital Epidemiology</t>
  </si>
  <si>
    <t>2 years</t>
  </si>
  <si>
    <t>Intrahospital</t>
  </si>
  <si>
    <t>weekly</t>
  </si>
  <si>
    <t>Caimo_2017</t>
  </si>
  <si>
    <t>Bayesian exponential random graph modelling of intehrospital patient referral networks</t>
  </si>
  <si>
    <t>Caimo A; Pallotti F; Lomi A</t>
  </si>
  <si>
    <t>Statistics in Medicine</t>
  </si>
  <si>
    <t>Interhospital</t>
  </si>
  <si>
    <t>Chang_2016</t>
  </si>
  <si>
    <r>
      <t xml:space="preserve">Identifying the effect of patient sharing on between-hospital genetic differenciation of methicillin-resistant </t>
    </r>
    <r>
      <rPr>
        <i/>
        <sz val="11"/>
        <color theme="1"/>
        <rFont val="Calibri"/>
        <family val="2"/>
        <scheme val="minor"/>
      </rPr>
      <t>Staphylococcus aureus</t>
    </r>
  </si>
  <si>
    <t>Chang HH; Dordel J; Donker T; Worby CJ; Feil EJ; Hanage WP; Bentley SD; Huang SS; Lipsitch M</t>
  </si>
  <si>
    <t>Genome Medicine</t>
  </si>
  <si>
    <t>Ciccolini_2014</t>
  </si>
  <si>
    <t>Efficient surveillance for healthcare-associated infections spreading between hospitals</t>
  </si>
  <si>
    <t>Ciccolini M; Donker T; Grundmann H; Bonten MJ; Woolhouse ME</t>
  </si>
  <si>
    <t>Direct and indirect</t>
  </si>
  <si>
    <t>Cioffi_2018</t>
  </si>
  <si>
    <t>A network-theoretic analysis of hospital admission, transfer and discharge data</t>
  </si>
  <si>
    <t>Cioffi M; Mukhtar N; Ryan NC; Klobusicky JJ</t>
  </si>
  <si>
    <t>AMIA Joint Summits on Translational Science proceedings</t>
  </si>
  <si>
    <t>DiDiodato_2018</t>
  </si>
  <si>
    <r>
      <t xml:space="preserve">Interhospital patient transfers between Ontario's academic and large community hospitals increase the risk of </t>
    </r>
    <r>
      <rPr>
        <i/>
        <sz val="11"/>
        <color theme="1"/>
        <rFont val="Calibri"/>
        <family val="2"/>
        <scheme val="minor"/>
      </rPr>
      <t>Clostridium difficile</t>
    </r>
    <r>
      <rPr>
        <sz val="11"/>
        <color theme="1"/>
        <rFont val="Calibri"/>
        <family val="2"/>
        <scheme val="minor"/>
      </rPr>
      <t xml:space="preserve"> infection</t>
    </r>
  </si>
  <si>
    <t>DiDiodato G; McArthur L</t>
  </si>
  <si>
    <t>American Journal of Infection Control</t>
  </si>
  <si>
    <t>Donker_2010</t>
  </si>
  <si>
    <t>Tjibbe Donker ; Jacco Wallinga ; Hajo Grundmann</t>
  </si>
  <si>
    <t>PLOS Computational Biology</t>
  </si>
  <si>
    <t>Administrative data</t>
  </si>
  <si>
    <t>Donker_2012</t>
  </si>
  <si>
    <t>Hospital Networks and the Dispersal of Hospital-Acquired Pathogens by Patient Transfer</t>
  </si>
  <si>
    <t>Donker T; Wallinga J; Slack R; Grundmann H</t>
  </si>
  <si>
    <t>à faire</t>
  </si>
  <si>
    <t>Donker_2014</t>
  </si>
  <si>
    <t>Dispersal of antibiotic-resistant high-risk clones by hospital networks: changing the patient direction can make all the difference</t>
  </si>
  <si>
    <t>Donker T; Wallinga J; Grundmann H</t>
  </si>
  <si>
    <t>Journal of hospital infection</t>
  </si>
  <si>
    <t>Donker_2017a</t>
  </si>
  <si>
    <t>Donker T; Henderson KL; Hopkins KL; Dodgson AR; Thomas S; Crook DW; Peto TEA; Johnson AP; Woodford N; Walker AS; Robotham JV</t>
  </si>
  <si>
    <t>BMC Medicine</t>
  </si>
  <si>
    <t>revue médicale</t>
  </si>
  <si>
    <t>Donker_2017b</t>
  </si>
  <si>
    <t>Donker T; Reuter S; Scriberras J; Reynolds R; Brown NM; Török ME; James R; Network EOEMR; Aanensen DM; Bentley SD; Holden MTG; Parkhill J; Spratt BG; Peacock SJ; Feil EJ; Grundmann H</t>
  </si>
  <si>
    <t>Microbial genomics</t>
  </si>
  <si>
    <t>Donker_2017c</t>
  </si>
  <si>
    <t>Measuring distance through dense weighted networks: the case of hospital-associated pathogens</t>
  </si>
  <si>
    <t>Donker T ; Smieszek T ; Henderson KL ; Johnson AP ; Walker AS ; Robotham JV</t>
  </si>
  <si>
    <t>Donker_2019</t>
  </si>
  <si>
    <t>Using hospital-based surveillance for antimicrobial resistance as a more robust alternative to self-reporting</t>
  </si>
  <si>
    <t>Donker T; Smieszek T; Henderson KL; Walker TM; Hope R; Johnson AP; Woodford N; Crook DW; Peto TEA; Walker AS; Robotham JV</t>
  </si>
  <si>
    <t>Interdisciplinary</t>
  </si>
  <si>
    <t>USA_Fernandez-Gracia_2017</t>
  </si>
  <si>
    <t>https://dx.doi.org/10.1038/s41598-017-02245-7</t>
  </si>
  <si>
    <t>Fernandez-Gracia_2017</t>
  </si>
  <si>
    <t>Influence of a patient transfer network of US inpatient facilities on the incidence of nosocomial infections</t>
  </si>
  <si>
    <t>Fernández-Gracia J; Onnela JP; Barnett ML; Eguíluz VM; Christakis NA</t>
  </si>
  <si>
    <t>Scientific Reports</t>
  </si>
  <si>
    <r>
      <t xml:space="preserve">To assess the role of a patient transfer network in spreading nosocomial infections (focusing on </t>
    </r>
    <r>
      <rPr>
        <i/>
        <sz val="11"/>
        <color theme="1"/>
        <rFont val="Calibri"/>
        <family val="2"/>
        <scheme val="minor"/>
      </rPr>
      <t>Clostridium difficile</t>
    </r>
    <r>
      <rPr>
        <sz val="11"/>
        <color theme="1"/>
        <rFont val="Calibri"/>
        <family val="2"/>
        <scheme val="minor"/>
      </rPr>
      <t>) and design efficient surveillance systems using network analysis</t>
    </r>
  </si>
  <si>
    <t>Medicare provider analysis and review (MedPAR) file</t>
  </si>
  <si>
    <t>US Medicare inpatient discharge claims</t>
  </si>
  <si>
    <t>Acute general medical-surgical hospitals, rehabilitation facilities, and others</t>
  </si>
  <si>
    <t>741732 (patients en tout)</t>
  </si>
  <si>
    <t>static</t>
  </si>
  <si>
    <t>Medicare patients aged 65 or older</t>
  </si>
  <si>
    <t>Tools : indegree, outdegree.</t>
  </si>
  <si>
    <t>linear regeression to explore the relationship between a facility's C. difficile infection rate and the average infection rate of its network neighbors. + fractional logistic regression predicts a hospital's infection incidence based on the average incidence of network-connecteed hospitals within a given disrance + the average incidence of nearby but not directly connected hospitals.</t>
  </si>
  <si>
    <t>evaluation of optimal placement of "sensor" facilities for early epidemic detection using centrality-based methods (indegree, outdegree, eigenvector centrality + random selection)$</t>
  </si>
  <si>
    <t>Patient Transfers Drive Infection Spread: Patient transfers between facilities significantly contribute to the spread of infections like C. difficile, with stronger correlations observed between infection rates of connected facilities than geographically close, unconnected ones.</t>
  </si>
  <si>
    <t>Facility Type Matters: Rehabilitation facilities play a central role in the transfer network due to high incoming patient transfers, making them critical for infection monitoring despite fewer patients being transferred.</t>
  </si>
  <si>
    <t>Cost-Effective Surveillance: Focusing surveillance on just 2% of hospitals, selected by in-degree centrality, can detect 80% of infections, demonstrating the efficiency of using network centrality for targeted public health monitoring.</t>
  </si>
  <si>
    <t>Regional and Temporal Patterns: Infection spread is geographically constrained, with most transfers occurring within 200 km, and shows strong seasonal and temporal cycles, influencing infection dynamics.</t>
  </si>
  <si>
    <t>Potential for National Surveillance Systems: The study supports the use of nationwide patient transfer networks for early detection and control of nosocomial infections, improving the efficiency of healthcare interventions.</t>
  </si>
  <si>
    <t>Tanzania_Francetic_2021</t>
  </si>
  <si>
    <t>Francetic_2021</t>
  </si>
  <si>
    <t>A network analysis of patient referrals in two district health systems in Tanzania</t>
  </si>
  <si>
    <t>Francetic I; Tediosi F; Kuwawenaruwa A</t>
  </si>
  <si>
    <t>Health Policy and Planning</t>
  </si>
  <si>
    <t>Health policy and systems research</t>
  </si>
  <si>
    <t>Exploring patient referral networks in two rural districts in Tanzania</t>
  </si>
  <si>
    <t>Survey = declarative data based on questionnaires</t>
  </si>
  <si>
    <t>3 months (les auteurs citent le manque de budget comme raison de ne pas conduire l'étude plus longtemps)</t>
  </si>
  <si>
    <t>Government-managed health facilities, private facilities, faith-based facilities. Including hospitals and health centres</t>
  </si>
  <si>
    <t>Local (part of the Shinyanga Region)</t>
  </si>
  <si>
    <t>Tanzania</t>
  </si>
  <si>
    <t>childhood illnesses and non-communicable diseases</t>
  </si>
  <si>
    <t xml:space="preserve">betweenness ; in-degree </t>
  </si>
  <si>
    <t>effect of distance among facilities on likelihood of tie formation ; effect of number of beds on network formation ; effect of the size of the faciltiy on gthe formation of a tie ; effect of availability of transportation on network formation</t>
  </si>
  <si>
    <t>Inclusion de "faith-based facilities" = établissements qui soignent basé sur la religion</t>
  </si>
  <si>
    <t>Han_2019</t>
  </si>
  <si>
    <r>
      <t xml:space="preserve">Whole-Genome sequencing to identify drivers of carbapenem-resistant </t>
    </r>
    <r>
      <rPr>
        <i/>
        <sz val="11"/>
        <color theme="1"/>
        <rFont val="Calibri"/>
        <family val="2"/>
        <scheme val="minor"/>
      </rPr>
      <t>Kelbisella pneumoniae</t>
    </r>
    <r>
      <rPr>
        <sz val="11"/>
        <color theme="1"/>
        <rFont val="Calibri"/>
        <family val="2"/>
        <scheme val="minor"/>
      </rPr>
      <t xml:space="preserve"> transmission within and between regional long-term acute-care hospitals</t>
    </r>
  </si>
  <si>
    <t>Han JH; Lapp Z; Bushman F; Lautenbach E; Goldstein EJC; Mattei L; Hofstaedter CE; Kim D; Nachamkin I; Garrigan C; Jain T; Bilker W; Wolford HM; Slayton RB; Wise J; Tolomeo P; Snitkin ES</t>
  </si>
  <si>
    <t>Antimicrobial Agents and Chemotherapy</t>
  </si>
  <si>
    <t>Japan_Ishikawa_2024</t>
  </si>
  <si>
    <t>Ishikawa_2024</t>
  </si>
  <si>
    <t>Analyzing patient-sharing network using an administrative claim database in Japan</t>
  </si>
  <si>
    <t>Ishikawa T; Kako A; Yoshimoto H; Hattori J; Goda K; Mitsutake N</t>
  </si>
  <si>
    <t>Studies in Health Technology and Informatics</t>
  </si>
  <si>
    <t>Analyze patients' behavior based on the methodology of network analysis</t>
  </si>
  <si>
    <t>National Health Insurance and Advanced Elderly Medical Service System</t>
  </si>
  <si>
    <t>Données nationales d'assurance maladie</t>
  </si>
  <si>
    <t>Medical facilities (pas de détails supplémentaires)</t>
  </si>
  <si>
    <t>163891 patients ont visité les hôpitaux ; 33 057 patients ont visité plusieurs établissements</t>
  </si>
  <si>
    <t>1 Préfecture du Japon</t>
  </si>
  <si>
    <t>contraintes de la base:  self-employed individuals and retirees and their dependents aged 75 years or above</t>
  </si>
  <si>
    <t>graph-level : density, transitivity, reciprocity ; facility-level : betweenness centrality, degree, PageRank</t>
  </si>
  <si>
    <t>association between degree, PageRank quartile and betweeness assessed by bubble chart</t>
  </si>
  <si>
    <t>USA_Iwashyna_2009a</t>
  </si>
  <si>
    <t>https://dx.doi.org/10.1097/MLR.0b013e318197b1f5</t>
  </si>
  <si>
    <t>Iwashyna_2009a</t>
  </si>
  <si>
    <t>The structure of critical care transfer network</t>
  </si>
  <si>
    <t>Iwashyna TJ; Christie JD; Moody J; Kahn JM; Asch DA</t>
  </si>
  <si>
    <t>medical care</t>
  </si>
  <si>
    <t>To characterize the existing critical care entwork in terms of the patterns of transfers</t>
  </si>
  <si>
    <t>Medicare provider analysis and review file</t>
  </si>
  <si>
    <t>insurance database</t>
  </si>
  <si>
    <t>indirect</t>
  </si>
  <si>
    <t>1 day</t>
  </si>
  <si>
    <t>hospitals</t>
  </si>
  <si>
    <t>critically ill patients</t>
  </si>
  <si>
    <t>centrality to measure connectedness</t>
  </si>
  <si>
    <t>kruskall wallis tests to know to which extent the characteristics of the hospitals are related to their connectedness</t>
  </si>
  <si>
    <t>équation de recherche</t>
  </si>
  <si>
    <t>Connecticut_Iwashyna_2009b</t>
  </si>
  <si>
    <t>https://doi.org/10.1378/chest.08-1052</t>
  </si>
  <si>
    <t>Iwashyna_2009b</t>
  </si>
  <si>
    <t>Uncharted Paths: Hospital Networks in Critical Care</t>
  </si>
  <si>
    <t>Iwashyna TJ; Christie JD; Kahn JM; Asch DA</t>
  </si>
  <si>
    <t>Chest</t>
  </si>
  <si>
    <t>To illustrate their theory that variations in quality between hospitals might provide a public health opportunity via transfers</t>
  </si>
  <si>
    <t>State (Connecticut)</t>
  </si>
  <si>
    <t>in that case, transfers prioritize proximity over hospital quality, resulting in suboptimal outcomes in many cases</t>
  </si>
  <si>
    <t>optimizing transfer decisions could lead to meaningful reductions in MAI mortality</t>
  </si>
  <si>
    <t>established tr</t>
  </si>
  <si>
    <t>USA_Iwashyna_2010</t>
  </si>
  <si>
    <t>https://dx.doi.org/10.1161/CIRCOUTCOMES.110.957993</t>
  </si>
  <si>
    <t>Iwashyna_2010</t>
  </si>
  <si>
    <t>Interhospital transfers among Medicare beneficiaries admitted for acute myocardial infarction at nonrevascularization hospitals</t>
  </si>
  <si>
    <t>Iwashyna TJ; Kahn JM; Hayward RA; Nallamothu BK</t>
  </si>
  <si>
    <t>Circulation: cardiovascular quality and outcomes</t>
  </si>
  <si>
    <t>revue médicale spécialisée en santé cardiovasculaire</t>
  </si>
  <si>
    <t>To analyze interhospital transfer patterns for Medicare beneficiaries admitted with acute myocardial infarction (AMI) at hospitals without revascularization capabilities and to explore the impact of transfer destinations on pateint outcomes</t>
  </si>
  <si>
    <t>Medicare claims</t>
  </si>
  <si>
    <t>indirect (ou direct?)</t>
  </si>
  <si>
    <t>same day or 1 day apart</t>
  </si>
  <si>
    <t>hospitals (nonrevascularization and revascularization)</t>
  </si>
  <si>
    <t>2788 (1684 nonrevascularization + 1104 revascularization)</t>
  </si>
  <si>
    <t>31607 (44.3% of identified patients)</t>
  </si>
  <si>
    <t>71336 AMI pateints initially admitted to nonrevascularization hospitals</t>
  </si>
  <si>
    <t>Static</t>
  </si>
  <si>
    <t>AMI patients (acude myocard infarction)</t>
  </si>
  <si>
    <t>logistic regression models to evaluate transfer destination decisions based on mortality and proximity. + Negative binomial regression to know if revascularization hospitals with lower RSMR (risk-standardized mortality rate) tended to receive more transfers</t>
  </si>
  <si>
    <t>USA_Karkada_2011</t>
  </si>
  <si>
    <t>http://dx.doi.org/10.1007/s00134-011-2341-y</t>
  </si>
  <si>
    <t>Karkada_2011</t>
  </si>
  <si>
    <t>Limiting the spread of highly resistant hospital-acquired microorganisms via critical care transfers: a simulation study</t>
  </si>
  <si>
    <t>Karkada UH; Adamic LA; Kahn JM; Iwashyna TJ</t>
  </si>
  <si>
    <t>Intensive care medicine</t>
  </si>
  <si>
    <t>medical journal (intensive care, criticial care, emergency medicine)</t>
  </si>
  <si>
    <t>To examine trhe extent to which transfers of critically ill patients could be a vector for the wide spread of highly resistant organisms, and compare the efficiency of different approaches to targeting infection control resources</t>
  </si>
  <si>
    <t>degree, betweeness</t>
  </si>
  <si>
    <t>stochastic network-based model</t>
  </si>
  <si>
    <t>highly resistant microorganisms</t>
  </si>
  <si>
    <t>allocation of arbitrary "units" of infection control leading to 25% reduction in hospital-to-hospital transmission probability. Different allocations : random, use of the degree, use of the betweenness-centrality, greedy approach</t>
  </si>
  <si>
    <t>Ke_2012</t>
  </si>
  <si>
    <r>
      <t xml:space="preserve">Patient sharing and population genetic structure of methicillin-resistant </t>
    </r>
    <r>
      <rPr>
        <i/>
        <sz val="11"/>
        <color theme="1"/>
        <rFont val="Calibri"/>
        <family val="2"/>
        <scheme val="minor"/>
      </rPr>
      <t>Staphylococcus aureus</t>
    </r>
  </si>
  <si>
    <t>Ke W; Huang SS; Hudson LO; Elkins KR; Nguyen CC; Spratt BG; Murphy CR; Avery TR; Lipsitch M</t>
  </si>
  <si>
    <t>Korea_Kwak_2023</t>
  </si>
  <si>
    <t>Kwak_2023</t>
  </si>
  <si>
    <t>A Visual Analytics Framework for Inter-Hospital Transfer Network of Stroke Patients</t>
  </si>
  <si>
    <t>Kwak, K.; Park, J.; Song, H.</t>
  </si>
  <si>
    <t>Applied Sciences</t>
  </si>
  <si>
    <t>To propose a new framework for constructing a network based on stroke patient transfer data and performing exploratory analysis</t>
  </si>
  <si>
    <t>Database on patient transfered accumalted and managed by Heath Insurance Review and Assessment (HIRA) service</t>
  </si>
  <si>
    <t>Données gouvernementales type SNDS/PMSI</t>
  </si>
  <si>
    <t>Hospitals (quaternary, tertiary, secondary, primary)</t>
  </si>
  <si>
    <t>National, regional and local</t>
  </si>
  <si>
    <t>Korea</t>
  </si>
  <si>
    <t>degree ; in-degree ; out-degree ; density ; community detection (Louvain algorithm) ; analysis of topology : analysis at multiple scales (national, regional and community) ; analysis of hub-and-spoke structure</t>
  </si>
  <si>
    <t>Lee_2011a</t>
  </si>
  <si>
    <t>Social network analysis of patient sharing among hospitals in Orange County, California.</t>
  </si>
  <si>
    <t>Lee BY; McGlone SM; Song Y; Avery TR; Eubank S; Chang CC; Bailey RR; Wagener DK; Burke DS; Platt R; Huang SS</t>
  </si>
  <si>
    <t>American Journal of Public Health</t>
  </si>
  <si>
    <t>Lee_2011b</t>
  </si>
  <si>
    <t>Long-term care facilities: important participants of the acute care facility social network?</t>
  </si>
  <si>
    <t>Lee BY; Song Y; Bartsch SM; Kim DS; Singh A; Avery TR; Brown ST; Yilmaz SL; Wong KF; Potter MA; Burke DS; Platt R; Huang SS</t>
  </si>
  <si>
    <t>Lee_2011c</t>
  </si>
  <si>
    <r>
      <t xml:space="preserve">Modeling the spread of methicillin-resistant </t>
    </r>
    <r>
      <rPr>
        <i/>
        <sz val="11"/>
        <color theme="1"/>
        <rFont val="Calibri"/>
        <family val="2"/>
        <scheme val="minor"/>
      </rPr>
      <t xml:space="preserve">Staphylococcus aureus </t>
    </r>
    <r>
      <rPr>
        <sz val="11"/>
        <color theme="1"/>
        <rFont val="Calibri"/>
        <family val="2"/>
        <scheme val="minor"/>
      </rPr>
      <t>(MRSA) outbreaks throughout the hospitals in Orange County, California</t>
    </r>
  </si>
  <si>
    <t>Lee BY; McGlone SM; Wong KF; Yilmaz SL; Avery TR; Song Y; Christie R; Eubank S; Brown ST; Epstein JM; Parker JI; Burke DS; Platt R; Huang SS</t>
  </si>
  <si>
    <t>Lee_2012</t>
  </si>
  <si>
    <t>Simulation shows hospitals that cooperate on infection control obtain better results than hospitals acting alone</t>
  </si>
  <si>
    <t>Lee BY ; Bartsh SM ; Wong KF ; Yilmaz SL ; Avery TR ; Singh A ; Song Y ; Kim SM ; Brown ST ; Potter MA ; Platt R ; Huang S</t>
  </si>
  <si>
    <t>Health Affairs</t>
  </si>
  <si>
    <t>Lee_2013a</t>
  </si>
  <si>
    <r>
      <t xml:space="preserve">The importance of nursing homes in the spread of methicillin-resistant </t>
    </r>
    <r>
      <rPr>
        <i/>
        <sz val="11"/>
        <color theme="1"/>
        <rFont val="Calibri"/>
        <family val="2"/>
        <scheme val="minor"/>
      </rPr>
      <t xml:space="preserve">Staphylococcus aureus </t>
    </r>
    <r>
      <rPr>
        <sz val="11"/>
        <color theme="1"/>
        <rFont val="Calibri"/>
        <family val="2"/>
        <scheme val="minor"/>
      </rPr>
      <t>(MRSA) among hospitals</t>
    </r>
  </si>
  <si>
    <t>Lee BY; Bartsch SM; Wong KF; Singh A; Avery TR; Kim DS; Brown ST; Murphy CR; Yilmaz SL; Potter MA; Huang SS</t>
  </si>
  <si>
    <t>Medical Care</t>
  </si>
  <si>
    <t>Medical research</t>
  </si>
  <si>
    <t>Lee_2013b</t>
  </si>
  <si>
    <t>The regional healthcare ecosystem analyst (RHEA): simulation modeling tool to assist infectious disease control in a health system</t>
  </si>
  <si>
    <t>Lee_2013c</t>
  </si>
  <si>
    <t>Modeling the regional spread and control of vancomycin-resistant enterococci</t>
  </si>
  <si>
    <t>Lee BY; Yilmaz SL; Wong KF; Bartsch SM; Eubank S; Song Y; Avery TR; Christie R; Brown ST; Epstein JM; Parker JI; Huang SS</t>
  </si>
  <si>
    <r>
      <t xml:space="preserve">The potential regional impact of contact precaution use in nursing homes to control methicillin-resistant </t>
    </r>
    <r>
      <rPr>
        <i/>
        <sz val="11"/>
        <color theme="1"/>
        <rFont val="Calibri"/>
        <family val="2"/>
        <scheme val="minor"/>
      </rPr>
      <t>Staphylococcus aureus</t>
    </r>
  </si>
  <si>
    <t>Lee BY ; Singh A ; Bartsch SM ; Wong KF ; Kim DS ; Avery TR ; Brown ST ; Murphy CR ; Yilmaz SL ; Huang SS</t>
  </si>
  <si>
    <t>Lee_2016</t>
  </si>
  <si>
    <r>
      <t xml:space="preserve">The potential trajectory of carbapenem-resistant </t>
    </r>
    <r>
      <rPr>
        <i/>
        <sz val="11"/>
        <color theme="1"/>
        <rFont val="Calibri"/>
        <family val="2"/>
        <scheme val="minor"/>
      </rPr>
      <t>Enterobacteriaceae</t>
    </r>
    <r>
      <rPr>
        <sz val="11"/>
        <color theme="1"/>
        <rFont val="Calibri"/>
        <family val="2"/>
        <scheme val="minor"/>
      </rPr>
      <t>, an emerging threat to health-care facilities, and the impact of the centers for disease control and prevention toolkit</t>
    </r>
  </si>
  <si>
    <t>Lee BY ; Bartsch SM ; Wong KF ; McKinnell JA ; Slayton RB ; Miller LG ; Cao C ; Kim DS ; Alexander JK ; Jernigan JA ; Huang SS</t>
  </si>
  <si>
    <t>American Journal of Epidemiology</t>
  </si>
  <si>
    <t>Lomi_2012</t>
  </si>
  <si>
    <t>Relational collaboration among spatial multipoint competitors</t>
  </si>
  <si>
    <t>Lomi A ; Pallotti F</t>
  </si>
  <si>
    <t>Social Networks</t>
  </si>
  <si>
    <t>Lomi_2014</t>
  </si>
  <si>
    <t>Quality of Care and Interhospital Collaboration : a study of patient transfers in Italy</t>
  </si>
  <si>
    <t>Lomi A; Mascia D; Vu DQ; Pallotti F; Conaldi G; Iwashyna TJ</t>
  </si>
  <si>
    <t>Lonc_2019</t>
  </si>
  <si>
    <t>Analysis of the AOK Plus data and derived hospital network</t>
  </si>
  <si>
    <t>Lonc, A.; Piotrowska, M.J.; Sakowski, K.</t>
  </si>
  <si>
    <t>Mathematica Applicanda</t>
  </si>
  <si>
    <t>Mascia_2011</t>
  </si>
  <si>
    <t>Understanding hospital performance: the role of network ties and patterns of competition</t>
  </si>
  <si>
    <t>Mascia D ; Di Vincenzo F</t>
  </si>
  <si>
    <t>Health Care Management Review</t>
  </si>
  <si>
    <t>Mascia_2012</t>
  </si>
  <si>
    <t>Dynamic analysis of interhospital collaboration and competition: Empirical evidence from an Italian regional health system</t>
  </si>
  <si>
    <t>Mascia D ; Di Vincenzo F ; Cicchetti A</t>
  </si>
  <si>
    <t>Health Policy</t>
  </si>
  <si>
    <t>dynamic</t>
  </si>
  <si>
    <t>Mascia_2013</t>
  </si>
  <si>
    <t>Dynamics of hospital competition: Social network analysis in the Italian National Health Service</t>
  </si>
  <si>
    <t>Mascia_2015</t>
  </si>
  <si>
    <t>Effect of hospital referral networks on patient readmissions</t>
  </si>
  <si>
    <t>Mascia D ; Angeli F ; Di Vincenzo F</t>
  </si>
  <si>
    <t>Social Science &amp; Medicine</t>
  </si>
  <si>
    <t>USA_Moen_2018</t>
  </si>
  <si>
    <t>Moen_2018</t>
  </si>
  <si>
    <t>Assessing Variation in Implantable Cardioverter Defibrillator Therapy Guideline Adherence With Physician and Hospital Patient-sharing Networks.</t>
  </si>
  <si>
    <t>Moen EL; Bynum JP; Austin AM; Skinner JS; Chakraborti G; O'Malley AJ</t>
  </si>
  <si>
    <t>Examine how the connectedness of physicians and hospitals, measured using network analysis, relates to guideline-consistent ICD implantation</t>
  </si>
  <si>
    <t>Medicare</t>
  </si>
  <si>
    <t>cardiovascular patients who received implantable cardioverter defibrillator therapy</t>
  </si>
  <si>
    <t>degree ; betweenness ; Louvain community detection method</t>
  </si>
  <si>
    <t>Nekkab_2017</t>
  </si>
  <si>
    <t>Spread of hospital-acquired infections: A comparison of healthcare networks</t>
  </si>
  <si>
    <t>Narimane Nekkab ; Pascal Crépey ; Pascal Astagneau ; Laura Temime</t>
  </si>
  <si>
    <t>Nekkab_2020</t>
  </si>
  <si>
    <r>
      <t>Assessing the role of inter-facility patient transfer in the spread of carbapenemase-producing</t>
    </r>
    <r>
      <rPr>
        <i/>
        <sz val="11"/>
        <color theme="1"/>
        <rFont val="Calibri"/>
        <family val="2"/>
        <scheme val="minor"/>
      </rPr>
      <t xml:space="preserve"> Enterobacteriaceae</t>
    </r>
    <r>
      <rPr>
        <sz val="11"/>
        <color theme="1"/>
        <rFont val="Calibri"/>
        <family val="2"/>
        <scheme val="minor"/>
      </rPr>
      <t>: the case of France between 2012 and 2015</t>
    </r>
  </si>
  <si>
    <t>Nekkab N; Crépey P; Astagneau P; Opatowski L; Temime L</t>
  </si>
  <si>
    <t>Ohst_2014</t>
  </si>
  <si>
    <r>
      <t xml:space="preserve">The network positions of methicillin resistant </t>
    </r>
    <r>
      <rPr>
        <i/>
        <sz val="11"/>
        <color theme="1"/>
        <rFont val="Calibri"/>
        <family val="2"/>
        <scheme val="minor"/>
      </rPr>
      <t>Stapghylococcus aureus</t>
    </r>
    <r>
      <rPr>
        <sz val="11"/>
        <color theme="1"/>
        <rFont val="Calibri"/>
        <family val="2"/>
        <scheme val="minor"/>
      </rPr>
      <t xml:space="preserve"> affected units in a regional healthcare system</t>
    </r>
  </si>
  <si>
    <t>Ohst J ; Liljeros F ; Stenhem M ; Holme P</t>
  </si>
  <si>
    <t>EPJ Data Science</t>
  </si>
  <si>
    <t>interdisciplinary</t>
  </si>
  <si>
    <t>Papp_2021</t>
  </si>
  <si>
    <t>Assessment of patient flow and optimized use of lean thinking transformation from the perspective of graph theory and spectral graph theory: a case study</t>
  </si>
  <si>
    <t>Papp C; Harsanyi S; Gesztelyi R; Emri M; Zsuga J</t>
  </si>
  <si>
    <t>Technology and Health Care</t>
  </si>
  <si>
    <t>Hospital</t>
  </si>
  <si>
    <t>Rankin_2020</t>
  </si>
  <si>
    <t>Social network analysis of patient movement across health care entities in Orange County, Florida</t>
  </si>
  <si>
    <t>Rankin DA; Matthews SD</t>
  </si>
  <si>
    <t>Public Health Reports</t>
  </si>
  <si>
    <t>Ray_2016</t>
  </si>
  <si>
    <t>Ray MJ; Lin MY; Weinstein RA; Trick WE</t>
  </si>
  <si>
    <t>Clinical Infectious Diseases</t>
  </si>
  <si>
    <t>Ray_2018</t>
  </si>
  <si>
    <t>Regional spread of an outbreak of carbapenem-resistant Enterobacteriaceae through an ego network of healthcare facilities</t>
  </si>
  <si>
    <t>Ray MJ; Lin MY; Tang AS; Arwady MA; Lavin MA; Runningdeer E; Jovanov D; Trick WE</t>
  </si>
  <si>
    <r>
      <t xml:space="preserve">Estimating the attributable disease burden and effects of interhospital patient sharing on </t>
    </r>
    <r>
      <rPr>
        <i/>
        <sz val="11"/>
        <color theme="1"/>
        <rFont val="Calibri"/>
        <family val="2"/>
        <scheme val="minor"/>
      </rPr>
      <t xml:space="preserve">Clostridium difficile </t>
    </r>
    <r>
      <rPr>
        <sz val="11"/>
        <color theme="1"/>
        <rFont val="Calibri"/>
        <family val="2"/>
        <scheme val="minor"/>
      </rPr>
      <t>infections</t>
    </r>
  </si>
  <si>
    <t>Sewell DK; Simmering JE; Justice S; Pemmaraju SV; Segre AM; Polgreen PM</t>
  </si>
  <si>
    <t>Simmering_2015</t>
  </si>
  <si>
    <t>Simmering JE; Polgreen LA; Campbell DR; Cavanaugh JE; Polgreen PM</t>
  </si>
  <si>
    <t>Slayton_2015</t>
  </si>
  <si>
    <t>Vital Signs: Estimated Effects of a Coordinated Approach for Action to Reduce Antibiotic-Resistant Infections in Health Care Facilities — United States</t>
  </si>
  <si>
    <t>Slayton RB ; Toth D ; Lee BY ; Tanner W ; Bartsch SM ; Khader K ; Wong K ; Brown KB ; McKinnell JA ; Ray W ; Miller LG ; Rubin M ; Kim DS ; Adler F ; Cao C ; Avery L ; Stone NTB ; Kallen A ;Samore M ; Huang SS ; Fridkin S ; Jernigan JA</t>
  </si>
  <si>
    <t>Morbidity and Mortality Weekly Report</t>
  </si>
  <si>
    <t>vanBunnik_2015</t>
  </si>
  <si>
    <t>Efficient national surveillance for health-care-associated infections</t>
  </si>
  <si>
    <t>van Bunnik BA; Ciccolini M; Gibbons CL; Edwards G; Fitzgerald R; McAdam PR; Ward MJ; Laurenson IF; Woolhouse ME</t>
  </si>
  <si>
    <t>BMC Public Health</t>
  </si>
  <si>
    <t>vandenDool_2016</t>
  </si>
  <si>
    <t>The role of nursing homes in the spread of antimicrobial resistance over the healthcare network</t>
  </si>
  <si>
    <t>van den Dool C; Haenen A; Leenstra T; Wallinga J</t>
  </si>
  <si>
    <t>vanNiekerk_2022</t>
  </si>
  <si>
    <r>
      <t xml:space="preserve">Spatiotemporal prediction of vancomycin-resistant </t>
    </r>
    <r>
      <rPr>
        <i/>
        <sz val="11"/>
        <color theme="1"/>
        <rFont val="Calibri"/>
        <family val="2"/>
        <scheme val="minor"/>
      </rPr>
      <t xml:space="preserve">Enterococcus </t>
    </r>
    <r>
      <rPr>
        <sz val="11"/>
        <color theme="1"/>
        <rFont val="Calibri"/>
        <family val="2"/>
        <scheme val="minor"/>
      </rPr>
      <t>colonisation</t>
    </r>
  </si>
  <si>
    <t>van Niekerk JM; Lokate M; Braakman-Jansen LMA; van Gemert-Pijnen JEWC; Stein A</t>
  </si>
  <si>
    <t>BMC Infectious diseases</t>
  </si>
  <si>
    <t>Relational event models for longitudinal network data with an application to interhospital patient transfers</t>
  </si>
  <si>
    <t>Vu D ; Lomi A ; Mascia D ; Pallotti F</t>
  </si>
  <si>
    <t>Piotrowska_2023</t>
  </si>
  <si>
    <r>
      <t xml:space="preserve">The effect of re-directed patient flow in combination with targeted infection control measures on the spread of multi-drug-resistant </t>
    </r>
    <r>
      <rPr>
        <i/>
        <sz val="11"/>
        <color theme="1"/>
        <rFont val="Calibri"/>
        <family val="2"/>
        <scheme val="minor"/>
      </rPr>
      <t xml:space="preserve">Enterobacteriaceae </t>
    </r>
    <r>
      <rPr>
        <sz val="11"/>
        <color theme="1"/>
        <rFont val="Calibri"/>
        <family val="2"/>
        <scheme val="minor"/>
      </rPr>
      <t>in the German health-care system: a mathematical modelling approach</t>
    </r>
  </si>
  <si>
    <t>Piotrowska MJ; Sakowski K; Horn J; Mikolajczyk R; Karch A</t>
  </si>
  <si>
    <t>Clinical Microbiology and Infection</t>
  </si>
  <si>
    <t>Tun_2021</t>
  </si>
  <si>
    <r>
      <t xml:space="preserve">Ward-level factors associated with methicillin-resistant </t>
    </r>
    <r>
      <rPr>
        <i/>
        <sz val="11"/>
        <color theme="1"/>
        <rFont val="Calibri"/>
        <family val="2"/>
        <scheme val="minor"/>
      </rPr>
      <t>Staphylococcus aureus</t>
    </r>
    <r>
      <rPr>
        <sz val="11"/>
        <color theme="1"/>
        <rFont val="Calibri"/>
        <family val="2"/>
        <scheme val="minor"/>
      </rPr>
      <t xml:space="preserve"> acquisition - an electronic medical records study in Singapore</t>
    </r>
  </si>
  <si>
    <t>Tun ZM; Fisher DA; Salmon S; Tam CC</t>
  </si>
  <si>
    <t>Tang_2020</t>
  </si>
  <si>
    <t>Do Chinese hospital services constitute an oligopoly? Evidence of the rich-club phenomenon in a patient referral network</t>
  </si>
  <si>
    <t>Tang, C.; Dong, X.; Lian, Y.; Tang, D.</t>
  </si>
  <si>
    <t>Future Generation Computer Systems</t>
  </si>
  <si>
    <t>https://doi.org/10.1007/s10729-018-9466-2</t>
  </si>
  <si>
    <t>Miranda_2020</t>
  </si>
  <si>
    <t>Miranda, M.A.; Salvatierra, S.; Rodríguez, I.; Álvarez, M.J.; Rodríguez, V.</t>
  </si>
  <si>
    <t>Health Care Management Science</t>
  </si>
  <si>
    <t>management of health care</t>
  </si>
  <si>
    <t>https://dx.doi.org/10.1177/1751143720980270</t>
  </si>
  <si>
    <t>Pett_2022</t>
  </si>
  <si>
    <t>Critical care transfers and COVID-19: Managing capacity challenges through critical care networks</t>
  </si>
  <si>
    <t>Pett E; Leung HL; Taylor E; Chong MSF; Hla TTW; Sartori G; Sathianathan V; Husain T; Suntharalingam G; Rosenberg A; Walsh A; Wigmore T</t>
  </si>
  <si>
    <t>Journal of the Intensive Care Society</t>
  </si>
  <si>
    <t>Modelling pathogen spread in a healthcare network: indirect patient movements</t>
  </si>
  <si>
    <t>DiVincenzo_2018</t>
  </si>
  <si>
    <t>Exploring the networking behaviors of hospital organizations</t>
  </si>
  <si>
    <t>Di Vincenzo F</t>
  </si>
  <si>
    <t>https://dx.doi.org/10.1017/ice.2022.102</t>
  </si>
  <si>
    <t>Tadese_2023</t>
  </si>
  <si>
    <r>
      <t xml:space="preserve">Regional transmission patterns of carbapenemase-producing </t>
    </r>
    <r>
      <rPr>
        <i/>
        <sz val="11"/>
        <color theme="1"/>
        <rFont val="Calibri"/>
        <family val="2"/>
        <scheme val="minor"/>
      </rPr>
      <t>Enteorbacterales</t>
    </r>
    <r>
      <rPr>
        <sz val="11"/>
        <color theme="1"/>
        <rFont val="Calibri"/>
        <family val="2"/>
        <scheme val="minor"/>
      </rPr>
      <t>: a healthcare network analysis</t>
    </r>
  </si>
  <si>
    <t>Tadese BK; Fujimoto K; DeSantis SM; Mgbere O; Darkoh C</t>
  </si>
  <si>
    <t>https://doi.org/10.1136/bmjopen-2021-054545</t>
  </si>
  <si>
    <t>Zhang_2022</t>
  </si>
  <si>
    <t>Effects of patient-level risk factors, departmental allocation and seasonality on intrahospital patient transfer patterns: network analysis applied on a Norwegian single-centre data set</t>
  </si>
  <si>
    <t>Zhang C; Eken T; Jørgensen SB; Thoresen M; Søvik S</t>
  </si>
  <si>
    <t>BMJ Open</t>
  </si>
  <si>
    <t>Bower_2020</t>
  </si>
  <si>
    <r>
      <t xml:space="preserve">Evaluating movement of patients with carbapenem-resistant </t>
    </r>
    <r>
      <rPr>
        <i/>
        <sz val="11"/>
        <color theme="1"/>
        <rFont val="Calibri"/>
        <family val="2"/>
        <scheme val="minor"/>
      </rPr>
      <t>Enterobacteriaceae</t>
    </r>
    <r>
      <rPr>
        <sz val="11"/>
        <color theme="1"/>
        <rFont val="Calibri"/>
        <family val="2"/>
        <scheme val="minor"/>
      </rPr>
      <t xml:space="preserve"> infections in the greater Atlanta metropolitan area using social network analysis</t>
    </r>
  </si>
  <si>
    <t>Bower CW; Fridkin DW; Wolford HM; Slayton RB; Kubes JN; Jacob JT; Ray SM; Fridkin SK</t>
  </si>
  <si>
    <t>à revérufier, et si dans le sujet, à faire</t>
  </si>
  <si>
    <t>https://doi.org/10.1161/CIRCOUTCOMES.121.008269</t>
  </si>
  <si>
    <t>Zachrison_2022</t>
  </si>
  <si>
    <t>Influence of hospital characteristics on hospital transfer destinations for patients with stroke</t>
  </si>
  <si>
    <t>Zachrison KS; Amati V; Schwamm LH; Yan Z; Nielsen V; Christie A; Reeves MJ; Sauser JP; Lomi A; Onnela JP</t>
  </si>
  <si>
    <t>Xia_2021</t>
  </si>
  <si>
    <t>Effects of incomplete inter-hospital network data on the assessment of transmission dynamics of hospital-acquired infections</t>
  </si>
  <si>
    <t>Xia H ; Horn J ; Piotrowska MJ ; Sakowski K ; Karch A ; Tahir H ; Kretzchmar M ; Mikolajczyk R</t>
  </si>
  <si>
    <t>comptage des infections dans chaque hôpital</t>
  </si>
  <si>
    <t>Not applicable</t>
  </si>
  <si>
    <t>Total number of patient recors</t>
  </si>
  <si>
    <t>Total number of distinct patients</t>
  </si>
  <si>
    <t>None</t>
  </si>
  <si>
    <t>Hospital's clinical records</t>
  </si>
  <si>
    <t>Not stated</t>
  </si>
  <si>
    <t>Local (single hospital)</t>
  </si>
  <si>
    <t>Clinica Universidad de Navarra (? Dans les remerciements)</t>
  </si>
  <si>
    <t>Spain (? Dans les remerciements)</t>
  </si>
  <si>
    <t>oncology patients</t>
  </si>
  <si>
    <t>Centrality degree to assess department connectivity.
Closeness centrality to identify departments' roles in network cohesion.
Information centrality to measure department vulnerability to disruptions.
Seasonal analysis of network parameters (average, peak, and low patient flows).</t>
  </si>
  <si>
    <t>Oncology departments efficiently handled centralized pateint flows. Medical oncology acted a a critical hub</t>
  </si>
  <si>
    <t>Seasonal patterns demonstrated the hospital's robust operational performance across varying patient flows</t>
  </si>
  <si>
    <t>Critical departments (hubs) require proactive resource allocation to prevent bottlenecks during peak demand periods</t>
  </si>
  <si>
    <t>To assess the operational efficiency of a hospital by analyzing patient flow dynamics using complex networks, identifying strategic departments, and evaluating seasonal patterns in patient flows. Cette étude a été réalisée suite à des new management policies, et donc ils ont notamment caractérisé l'efficacité des "target departmenets", qui ont été affectés par ces policies</t>
  </si>
  <si>
    <t>Estimating the attributable disease burden and effects of interhospital patient sharing on Clostridium difficile infections</t>
  </si>
  <si>
    <t>Références checkées?</t>
  </si>
  <si>
    <t>Exploring interhospital transfers and partnerships in the hospital sector in New South Wales, Australia</t>
  </si>
  <si>
    <t>Assareh H; Achat HM; Levesque JF; Leeder SR</t>
  </si>
  <si>
    <t>Australian Health Review</t>
  </si>
  <si>
    <t>Berta_2022</t>
  </si>
  <si>
    <t>The association between hospital cooperation and the quality of healthcare</t>
  </si>
  <si>
    <t>Berta, P.; Vinciotti, V.; Moscone, F.</t>
  </si>
  <si>
    <t>Regional studies</t>
  </si>
  <si>
    <t>Chrusciel_2021</t>
  </si>
  <si>
    <t>Making sense of the French public hospital system: a network-based approach to hospital clustering using unsupervised learning methods</t>
  </si>
  <si>
    <t>Chrusciel J; Le Guillou A; Daoud E; Laplanche D; Steunou S; Clément MC; Sanchez S</t>
  </si>
  <si>
    <t>Clarke_2018</t>
  </si>
  <si>
    <t>Clarke JM; Warren LR; Arora S; Barahona M; Darzi AW</t>
  </si>
  <si>
    <t>NPJ digital medicine</t>
  </si>
  <si>
    <t>Guiding interoperable electronic health records through patient-sharing networks</t>
  </si>
  <si>
    <t>https://dx.doi.org/10.1016/j.physa.2020.125546</t>
  </si>
  <si>
    <t>Dong_2021</t>
  </si>
  <si>
    <t>Social network analysis in China's hospital healthcare</t>
  </si>
  <si>
    <t>Dong, X.; Tang, D.; Tang, C.</t>
  </si>
  <si>
    <t>Physica A</t>
  </si>
  <si>
    <t>statistical mechanics and its applications</t>
  </si>
  <si>
    <t>https://dx.doi.org/10.1016/j.jstrokecerebrovasdis.2018.09.048</t>
  </si>
  <si>
    <t>Zachrison_2019</t>
  </si>
  <si>
    <t>Ischemic stroke transfer patterns in the Northeast United States</t>
  </si>
  <si>
    <t>Zachrison KS; Onnela JP; Hernandez A; Reeves MJ; Camargo CA Jr; Cox M; Matsouaka RA; Metlay JP; Goldstein JN; Schwamm LH</t>
  </si>
  <si>
    <t>Journal of Stroke and Cerebrovascular Diseases</t>
  </si>
  <si>
    <t>Insurance-based disparities in stroke center access in California: a network science approach</t>
  </si>
  <si>
    <t>Zachrison KS; Hsia RY; Schwamm LH; Yan Z; Samuels-Kalow ME; Reeves MJ; Camargo CA Jr; Onnela JP</t>
  </si>
  <si>
    <t>Zachrison_2023</t>
  </si>
  <si>
    <t>https://dx.doi.org/10.1161/CIRCOUTCOMES.122.009868</t>
  </si>
  <si>
    <t>Nature scientific reports</t>
  </si>
  <si>
    <t>Xia_2024</t>
  </si>
  <si>
    <t>Regional patient transfer patterns matter for the spread of hospital-acquired pathogens</t>
  </si>
  <si>
    <t>Xia H; Horn J; Piotrowska MJ; Sakowski K; Karch A; Kretzschmar M; Mikolajczyk R</t>
  </si>
  <si>
    <t>Présent dans Korsberg_2024?</t>
  </si>
  <si>
    <t>Fait (attention dans la revue de Moen 2024 ils disent que ce sont des réseaux mixtes physician/hospitals)</t>
  </si>
  <si>
    <t>sûrement grp de patient</t>
  </si>
  <si>
    <t>Tahir_2021</t>
  </si>
  <si>
    <t>Relevance of intra-hospital patient movements for the spread of healthcare-associated infections within hospitals - a mathematical modeling study</t>
  </si>
  <si>
    <t>Tahir H; López-Cortés LE; Kola A; Yahav D; Karch A; Xia H; Horn J; Sakowski K; Piotrowska MJ; Leibovici L; Mikolajczyk RT; Kretzschmar ME</t>
  </si>
  <si>
    <t>Transportation of critically ill patient to Pediatric Intensive Care Unit, Siriraj Hospita</t>
  </si>
  <si>
    <t>Limprayoon_2005</t>
  </si>
  <si>
    <t>Evangelista_2015</t>
  </si>
  <si>
    <t>The geographics of patients transfers: the case of an Italian Regional Health System</t>
  </si>
  <si>
    <t>Evangelista V</t>
  </si>
  <si>
    <t>Unnikrishnan_2010</t>
  </si>
  <si>
    <t>Discovering specific cascades in critical care transfer networks</t>
  </si>
  <si>
    <t>Francis_1984</t>
  </si>
  <si>
    <t>Using computer graphics to map origin-destination data describing health care delivery systems</t>
  </si>
  <si>
    <t>https://www.nature.com/articles/s41372-021-01091-w</t>
  </si>
  <si>
    <t>Kunz_2021</t>
  </si>
  <si>
    <t>Quantifying the variation in neonatal transport referral patterns using network analysis</t>
  </si>
  <si>
    <t>trauma transfers for children</t>
  </si>
  <si>
    <t>https://dx.doi.org/10.1111/acem.12463</t>
  </si>
  <si>
    <t>Vogel_2014</t>
  </si>
  <si>
    <t>Variations in Pediatric Trauma Transfers in Northern California pediatric trauma centers (2001-2009)</t>
  </si>
  <si>
    <t>vanderZee_2024</t>
  </si>
  <si>
    <t>Implications of interhospital patient transfers for emergency medical services transportation systems in the Netherlands: a retrospective study</t>
  </si>
  <si>
    <t>van der Zee DJ; Maruster L; Buijs P; Aerts-Veenstra M; Hatenboer J; Buskens E</t>
  </si>
  <si>
    <t>Unnikrishnan_2011</t>
  </si>
  <si>
    <t>Spatio-temporal tructure of US critical care transfer network</t>
  </si>
  <si>
    <t>https://pmc.ncbi.nlm.nih.gov/articles/PMC3248748/</t>
  </si>
  <si>
    <t>critical care</t>
  </si>
  <si>
    <t>Vertical integration and contractual network in the cardiovascular sector: the experience of the Italian region Emilia Romagna</t>
  </si>
  <si>
    <t>https://dx.doi.org/10.5334/ijic.82</t>
  </si>
  <si>
    <t>cardiovascular</t>
  </si>
  <si>
    <t>pas sûr que dans le sujet</t>
  </si>
  <si>
    <t>Ugolini_2003</t>
  </si>
  <si>
    <t>Patient Referral Patterns and the Spread of Hospital-Acquired Infections through National Health Care Networks</t>
  </si>
  <si>
    <t>Total number of patient records (number of admissions)</t>
  </si>
  <si>
    <t>Nom hôpital/ville/région (si non national)</t>
  </si>
  <si>
    <t>Gönçer Demiral, D.; Özen, Ü.</t>
  </si>
  <si>
    <t>https://dx.doi.org/10.1016/j.seps.2023.101713</t>
  </si>
  <si>
    <t>Socio-Economic Planning Sciences</t>
  </si>
  <si>
    <t>GönçerDemiral_2023</t>
  </si>
  <si>
    <t>Impact of inter-hospital transfers on the prevalence of resistant pathogens in a hospital-community system</t>
  </si>
  <si>
    <t>Piotrowska MJ; Sakowski K; Lonc A; Tahir H; Kretzschmar ME</t>
  </si>
  <si>
    <t>Epidemics</t>
  </si>
  <si>
    <t>Exploring inter-hospital emergency patient referral network</t>
  </si>
  <si>
    <t>Investigating the temporal dynamics of interorganizational exchange: patient transfers among Italian hospitals</t>
  </si>
  <si>
    <t>Kitts_2017</t>
  </si>
  <si>
    <t>Kitts JA; Lomi A; Mascia D; Pallotti F; Quintane E</t>
  </si>
  <si>
    <t>American Journal of Sociology</t>
  </si>
  <si>
    <t>https://dx.doi.org/10.1093/cid/ciz248</t>
  </si>
  <si>
    <t>Paul_2020</t>
  </si>
  <si>
    <t>Modeling regional transmission and containment of a healthcare-associated multidrug-resistant organism</t>
  </si>
  <si>
    <t>Paul P; Slayton RB; Kallen AJ; Walters MS; Jernigan JA</t>
  </si>
  <si>
    <t>cystic fibrosis patients</t>
  </si>
  <si>
    <t>https://dx.doi.org/10.1016/S2213-2600(15)00228-3</t>
  </si>
  <si>
    <t>Kidd_2015</t>
  </si>
  <si>
    <t>The social network of cystic fibrosis centre care and shared Pseudomonas aeruginosa strain infection: a cross-sectional analysis</t>
  </si>
  <si>
    <r>
      <t xml:space="preserve">Population genetic structuring of methicillin-resistant </t>
    </r>
    <r>
      <rPr>
        <i/>
        <sz val="11"/>
        <color theme="1"/>
        <rFont val="Calibri"/>
        <family val="2"/>
        <scheme val="minor"/>
      </rPr>
      <t>Staphylococcus aureus</t>
    </r>
    <r>
      <rPr>
        <sz val="11"/>
        <color theme="1"/>
        <rFont val="Calibri"/>
        <family val="2"/>
        <scheme val="minor"/>
      </rPr>
      <t xml:space="preserve"> clone EMRSA-15 within UK reflects patient referral patterns</t>
    </r>
  </si>
  <si>
    <t>Zachrison_2020</t>
  </si>
  <si>
    <t>Hospital factors associated with interhospital transfer destination for stroke in the northeast united states</t>
  </si>
  <si>
    <t>Zachrison KS; Onnela JP; Reeves MJ; Hernandez A; Camargo CA Jr; Zhao X; Matsouaka RA; Goldstein JN; Metlay JP; Schwamm LH</t>
  </si>
  <si>
    <t>J Am Heart Assoc</t>
  </si>
  <si>
    <t>Spilsbury_2015</t>
  </si>
  <si>
    <t>Cross border hospital use: analysis using data linkage across four Australian states</t>
  </si>
  <si>
    <t>Spilsbury K; Rosman D; Alan J; Boyd JH; Ferrante AM; Semmens JB</t>
  </si>
  <si>
    <t>Transition matrices model as a way to better understand and predict intra-hospital pathways of covid-19 patients</t>
  </si>
  <si>
    <t>Foucrier_2022</t>
  </si>
  <si>
    <t>Belik_2016</t>
  </si>
  <si>
    <t>Control of epidemics on hospital networks</t>
  </si>
  <si>
    <t>Belik, V.; Hövel, P.; Mikolajczyk, R.</t>
  </si>
  <si>
    <t>Belik_2017</t>
  </si>
  <si>
    <t>Leveraging topological and temporal structure of hospital referral networks for epidemic control</t>
  </si>
  <si>
    <t>Belik, V.; Karch, A ; Hövel, P.; Mikolajczyk, R.</t>
  </si>
  <si>
    <t>Temporal network epidemiology (book)</t>
  </si>
  <si>
    <t>To examine the structural characteristics of China's healthcare system using a network analysis approachj, focusing on the rich-club phenomenon in h</t>
  </si>
  <si>
    <t>hypertensive patients</t>
  </si>
  <si>
    <t>To analyze the inter-hospital emergency patient referral network in the Eastern Black Sea region of Türkiye, identifying the roles and positions of hospitals, factors influencing patient referrals, and the reasons for referrals using Social Network Analysis (SNA).</t>
  </si>
  <si>
    <t>emergency patients</t>
  </si>
  <si>
    <t xml:space="preserve">10.1097/TA.0000000000003789 </t>
  </si>
  <si>
    <t>Fernandes_Taylor_2023</t>
  </si>
  <si>
    <t>greater patient sharing between hospitals is associated with better outcomes for transferred emergency general surgery patients</t>
  </si>
  <si>
    <t>Key conclusion 1</t>
  </si>
  <si>
    <t>Key conclusion 2</t>
  </si>
  <si>
    <t>Key conclusion 3</t>
  </si>
  <si>
    <t>GeoJournal</t>
  </si>
  <si>
    <t>Fernández-Gracia, J; Onnela, J ; Barnett, ML ; Eguíluz, VM; Christakis NA</t>
  </si>
  <si>
    <t>Huang_2010</t>
  </si>
  <si>
    <t>Huang SS; Avery TR; Song Y; Elkins KR; Nguyen CC; Nutter SK; Nafday AA ; Condon CJ ; Chang MT; Chrest D; Boos J; Bobashev G; Wheaton W; Frank SA; Platt R; Lipsitch M; Bush RM; Eubank S; Burke DS; Lee BY</t>
  </si>
  <si>
    <t>Justice_2022</t>
  </si>
  <si>
    <t>Inferring patient transfer networks between healthcare facilities</t>
  </si>
  <si>
    <t>Justice SA; Sewell DK; Miller AC; Simmering JE; Polgreen PM</t>
  </si>
  <si>
    <t>Health Services and Outcomes Research Methodology</t>
  </si>
  <si>
    <t>To assess the impact of CDC's containment strategy for multidrug-resistant organisms  using a mathematical model of healthcare facility networks</t>
  </si>
  <si>
    <t>Centers for Medicare &amp; Medicaid Services (CMS) claims data</t>
  </si>
  <si>
    <t>Non précisé (anaonymised data, aggregated ovzer a single calendar year)</t>
  </si>
  <si>
    <t>à exclure</t>
  </si>
  <si>
    <t>To analyze transmission patterns of carbapenemase-producing Enterobacterales in a healthcare network and examine how network metrics affect facility-specific incidence rates of CPE</t>
  </si>
  <si>
    <t>CRE patients</t>
  </si>
  <si>
    <t>To describe patient transfer patterns within a large Norwegian hospital, identify risk factors associated with a high number of transfers, and develop methods to monitor intrahospital patient flows for capacity management and infection control</t>
  </si>
  <si>
    <t>Data from electronic health records at Akerhus University Hospital (AUH</t>
  </si>
  <si>
    <t>à revoir si on l'inclut ou pas</t>
  </si>
  <si>
    <t>Control of Self-Organizing Nonlinear Systems (book)</t>
  </si>
  <si>
    <t>Lee_2013d</t>
  </si>
  <si>
    <t>Medical Journal of Australia</t>
  </si>
  <si>
    <t>title</t>
  </si>
  <si>
    <t>authors</t>
  </si>
  <si>
    <t>year_publi</t>
  </si>
  <si>
    <t>journal</t>
  </si>
  <si>
    <t>Bartsch_2014</t>
  </si>
  <si>
    <t>Sewell_2019</t>
  </si>
  <si>
    <t>Vu_2017</t>
  </si>
  <si>
    <t>Assareh_2017</t>
  </si>
  <si>
    <t>Multidisciplinary</t>
  </si>
  <si>
    <t>BMC Health Services Research</t>
  </si>
  <si>
    <t>PNAS</t>
  </si>
  <si>
    <t>Health informatics, Management</t>
  </si>
  <si>
    <t>JAMIA</t>
  </si>
  <si>
    <t>Computer science applied to health</t>
  </si>
  <si>
    <t>Japan</t>
  </si>
  <si>
    <t>Korea (pour le niveau national, revoir niveaux regional et local aussi)</t>
  </si>
  <si>
    <t>The relative importance of large problems far away versus small problems closer to home: insights into limiting the spread of antimicrobial in England</t>
  </si>
  <si>
    <t>Spread of carbapenem-resistant Enterobacteriaceae among Illinois healthcare facilities: the role of patient sharing</t>
  </si>
  <si>
    <t>Mie Prefecture, Japan</t>
  </si>
  <si>
    <t>author_year</t>
  </si>
  <si>
    <t>Administrative National Data</t>
  </si>
  <si>
    <t>Japan national healthcare information system</t>
  </si>
  <si>
    <t>2018 (1 month each year from 2018 to 2021)</t>
  </si>
  <si>
    <t>Any time within the time range covered by the data</t>
  </si>
  <si>
    <t>Temporal</t>
  </si>
  <si>
    <t>Medical facilities (no details)</t>
  </si>
  <si>
    <t>Lee BY; Wong KF; Bartsch SM; Yilmaz SL; Avery TR; Brown ST; Song Y; Singh A; Kim DS; Huang SS</t>
  </si>
  <si>
    <t>1 network every year</t>
  </si>
  <si>
    <t>patients avec de l'hypertension seulement</t>
  </si>
  <si>
    <t>Piotrowska_2020a</t>
  </si>
  <si>
    <t>Piotrowska_2020b</t>
  </si>
  <si>
    <t>Quantifying interhospital patient sharing as a mechanism for infectious disease spread</t>
  </si>
  <si>
    <r>
      <t xml:space="preserve">Hospital transfer network structure as a risk factor for </t>
    </r>
    <r>
      <rPr>
        <i/>
        <sz val="11"/>
        <color theme="1"/>
        <rFont val="Calibri"/>
        <family val="2"/>
        <scheme val="minor"/>
      </rPr>
      <t xml:space="preserve">Clostridium difficile </t>
    </r>
    <r>
      <rPr>
        <sz val="11"/>
        <color theme="1"/>
        <rFont val="Calibri"/>
        <family val="2"/>
        <scheme val="minor"/>
      </rPr>
      <t>infection</t>
    </r>
  </si>
  <si>
    <t>Piotrowska MJ; Sakowski K; Karch A; Tahir H; Horn J; Kretzschmar ME; Mikolajczyk R</t>
  </si>
  <si>
    <t>Pas applicable</t>
  </si>
  <si>
    <t>2</t>
  </si>
  <si>
    <t>3</t>
  </si>
  <si>
    <t>Non applicable</t>
  </si>
  <si>
    <t>Non applicable (pas d'échantillonnage)</t>
  </si>
  <si>
    <t>2 (bases présentées mais choix pas comparé à d'autres option ni justifié)</t>
  </si>
  <si>
    <t>Exclusion explicite des populations non concernées par l'étude : admission &gt; 24 hours, age &gt; 18 years</t>
  </si>
  <si>
    <t>3 (données PMSI, base complète des données de séjours de patients en France)</t>
  </si>
  <si>
    <t>3 (bonne justification de l'exclusion des hôpitaux psychiatriques)</t>
  </si>
  <si>
    <t>3 (justification de l'exclusion des hôpitaux psychiatriques et de soins primaires)</t>
  </si>
  <si>
    <t>2-3 (utilisation d'une base de données sur une courte période pour simuler des données sur une grande période, ce qui limite la compréhension des dynamiques temporelles)</t>
  </si>
  <si>
    <t>2 (hétérogénéité: certains hôpitaux suréchantillonnés, d'autres sous-échantillonnés, ce qui limite la représentativité nationale)</t>
  </si>
  <si>
    <t>2 (aucune donnée réelle d'introduction ou de diffusion de pathogène)</t>
  </si>
  <si>
    <t>3 (base ecxhaustive de 1 an adaptée à l'objectif de mesurer les patterns de transferts actuels entre les hôpitaux)</t>
  </si>
  <si>
    <t>3 (exclusion de 2 hôpitaux, justifiée)</t>
  </si>
  <si>
    <t>2-3</t>
  </si>
  <si>
    <t>1-2</t>
  </si>
  <si>
    <t>1-Theoretical or conceptual underpinning to the research</t>
  </si>
  <si>
    <t>2-Statement of research aims</t>
  </si>
  <si>
    <t>3-Clear description of research setting and target population</t>
  </si>
  <si>
    <t>4-The study design is appropriate to address the stated research aims</t>
  </si>
  <si>
    <t>5-Appropriate sampling to address the research aims</t>
  </si>
  <si>
    <t>6-Rationale for choice of data collection tools</t>
  </si>
  <si>
    <t>7-The format and content of data collection tool is appropriate to address the stated research aims</t>
  </si>
  <si>
    <t>8-Description of data collection procedure</t>
  </si>
  <si>
    <t>9-Recruitment data provided</t>
  </si>
  <si>
    <t>10-Justification of analytic method selected</t>
  </si>
  <si>
    <t>11-The method of analysis was appropriate to answer the research aims</t>
  </si>
  <si>
    <t>12-Evidence that the research stakeholders have been considered in research design or conduct</t>
  </si>
  <si>
    <t>13-Strengths and limitations critically discussed</t>
  </si>
  <si>
    <t>1</t>
  </si>
  <si>
    <t>0</t>
  </si>
  <si>
    <t>3+</t>
  </si>
  <si>
    <t>1-</t>
  </si>
  <si>
    <t>2-3 (they only include acute care hospitals to study hospital partnerships in their region)</t>
  </si>
  <si>
    <t>2 (in this article they did not really describe OC hospitals)</t>
  </si>
  <si>
    <t>3 (included LTAC to study pathogen transmission)</t>
  </si>
  <si>
    <t>1-2 (only 2 hospital sites to describe hospital activity)</t>
  </si>
  <si>
    <t>1 (no info on type of facilities, no description of facilities, no info on inclusion-exclusion of patients)</t>
  </si>
  <si>
    <t>2 (they describe what they do but not why)</t>
  </si>
  <si>
    <t>2-3 (they do not say if they include every patient or no)</t>
  </si>
  <si>
    <t>1 (in this article no info on type of hospital, patientsd included excluded etc.)</t>
  </si>
  <si>
    <t>2 (sans info sur le research setting difficile de savoir s'il est approprié)</t>
  </si>
  <si>
    <t>3 (PMSI to make clsuters of French hospitalsd, very appropriate)</t>
  </si>
  <si>
    <t>3 (clear description of research setting)</t>
  </si>
  <si>
    <t>1 (the description of their aims is very vague)</t>
  </si>
  <si>
    <t>2-3 (their aim was not precise)</t>
  </si>
  <si>
    <t>2 (car la description n'était pas très précise)</t>
  </si>
  <si>
    <t>1-2 (description du réseau d'hôpitaux pas très précise)</t>
  </si>
  <si>
    <t>3 (data from multiple states for multiple years)</t>
  </si>
  <si>
    <t xml:space="preserve">1 (voire 0, pratiquement aucune description des hôpitaux de OC, California) </t>
  </si>
  <si>
    <t>2 (difficile à dire sans description)</t>
  </si>
  <si>
    <t>3 (description longue et complète des hôpitaux visés)</t>
  </si>
  <si>
    <t>2 (ils expliquent ce qu'ils font, mais pas vraiment d'explication claire de leur objectif dans l'intro)</t>
  </si>
  <si>
    <t>2 (ou 3, explication de l'application de network analysis à l'analyse des flux hospitaliers mais pas de discussion sur les réseaux déjà faits ou autre)</t>
  </si>
  <si>
    <t>2 (voire 1 peut-être?)</t>
  </si>
  <si>
    <t>1 (pas de contexte sur les réseaux de soin)</t>
  </si>
  <si>
    <t>0-1 (ils parlent en quelques mots des patient transfers et ne citent qu'une étude)</t>
  </si>
  <si>
    <t>0-1 (pas d'intro sur transferts de patients, réseaux, etc.)</t>
  </si>
  <si>
    <t>0 (aucune justification du choix des données administratives)</t>
  </si>
  <si>
    <t>1 (pas vraiment de justification explicite)</t>
  </si>
  <si>
    <t>1 (source précisée mais pas d'explication sur leur adéquation)</t>
  </si>
  <si>
    <t>1 (données assureur, utilisées car disponubiles mais pas d'autres jusitfications de leur choix)</t>
  </si>
  <si>
    <t>1 (données assureur, utilisées car disponubiles mais pas d'autres jusitfications sur leur pertinence)</t>
  </si>
  <si>
    <t>1 (données bien documentées mais pas de justification sur leur pertinence plutôt qu'autre chose)</t>
  </si>
  <si>
    <t>1 (pas de justification même si bonne description des données)</t>
  </si>
  <si>
    <t>0 (pas de justification ni de description de la base de données)</t>
  </si>
  <si>
    <t>1 (description précise des bases de données en Angleterre et aux Pays bas, mais pas de justifiation de la limitation à un an)</t>
  </si>
  <si>
    <t>1 (pas de justification du choix de ces 2 hôpitaux ni de la pertinence de ces bases de données plutôt que d'autres)</t>
  </si>
  <si>
    <t>1-2 (pas de justif)</t>
  </si>
  <si>
    <t>1 (pas de justif)</t>
  </si>
  <si>
    <t>3 (paragraphe de justif)</t>
  </si>
  <si>
    <t>3 (données PMSI, choisie car base complète des données de séjours de patients en France)</t>
  </si>
  <si>
    <t>3 (justif car PMSI base de données exhaustive en France)</t>
  </si>
  <si>
    <t>1 (l'article mentionne l'utilisation de ces bases de données mais pas vraiment de justification de l'intérêt de celles-ci)</t>
  </si>
  <si>
    <t>1 (trop courte durée des données de transferts de patients)</t>
  </si>
  <si>
    <t>2 (voire 1? certaines données viennent de survey)</t>
  </si>
  <si>
    <t>2 (données sur un seul état)</t>
  </si>
  <si>
    <t>3 (bdd exhaustive)</t>
  </si>
  <si>
    <t>3 (bdd exhaustive sur pls années)</t>
  </si>
  <si>
    <t>3 (bdd exhaustive de Sicile sur pls années)</t>
  </si>
  <si>
    <t>3 (bdd de 2 hôpitaux, vérifiée institutionnellement)</t>
  </si>
  <si>
    <t>2 (bdd ne couvre que patients couverts par AOK)</t>
  </si>
  <si>
    <t>2 (données AOK partielles, environ 50% des patients)</t>
  </si>
  <si>
    <t>3 (données quasi exhaustives sur 2 états)</t>
  </si>
  <si>
    <t>2 (données exhaustives 1 an, une seule région)</t>
  </si>
  <si>
    <t>2 (Medicare, pas tous les patients)</t>
  </si>
  <si>
    <t>2 (un seul hôpital)</t>
  </si>
  <si>
    <t>2 (une seule région)</t>
  </si>
  <si>
    <t>2 (une partie d'un état, limité car fournisseur de soins de santé)</t>
  </si>
  <si>
    <t>3 (administrative database, all of England)</t>
  </si>
  <si>
    <t>3 (exhaustive administrative database)</t>
  </si>
  <si>
    <t>3 (données exhaustives, plusieurs états)</t>
  </si>
  <si>
    <t>3 (PMSI, bdd exhaustive en France)</t>
  </si>
  <si>
    <t>2 (données exhaustives, une seule région)</t>
  </si>
  <si>
    <t>2 (1 hospital)</t>
  </si>
  <si>
    <t>2 (données exhaustives, mais un seul état)</t>
  </si>
  <si>
    <t>3 (données exhaustives, plusieurs états, plusieurs années)</t>
  </si>
  <si>
    <t>3 (5 hospitals)</t>
  </si>
  <si>
    <t>2 (données exhaustives, mais juste Singapour)</t>
  </si>
  <si>
    <t>3 (données systématiques Scotland)</t>
  </si>
  <si>
    <t>3 (données exhaustives pays)</t>
  </si>
  <si>
    <t>2 (AOK données partielles)</t>
  </si>
  <si>
    <t>0 (je n'ai vu aucun commentaire sur les forces/faiblesses des analyses stats)</t>
  </si>
  <si>
    <t>3 (they identify covariates based on previous studies + discuss in a paragraph the strengths and limitations)</t>
  </si>
  <si>
    <t>2 (parameters chosen from previous studies, un peu discutés)</t>
  </si>
  <si>
    <t>3 (voire 2, très bonne description, justficiation un peu courte)</t>
  </si>
  <si>
    <t>1 (they choose a model based on references)</t>
  </si>
  <si>
    <t>2 (they discuss the model in the conclusion)</t>
  </si>
  <si>
    <t>2 (voire 1, descirption mais pas de justification</t>
  </si>
  <si>
    <t>2 (justif dans méthodes mais pas discuté)</t>
  </si>
  <si>
    <t>2 (s'appuient sur la littérature + discutent la mesure qu'ils ont introduite)</t>
  </si>
  <si>
    <t>2 (voire 1, peu de justif hormis les rèfs)</t>
  </si>
  <si>
    <t>1 (voire 0)</t>
  </si>
  <si>
    <t>1 (voire 2)</t>
  </si>
  <si>
    <t>Donvito_2025</t>
  </si>
  <si>
    <t>Lapp_2023</t>
  </si>
  <si>
    <t>Octaria_2025</t>
  </si>
  <si>
    <t>Michelson_2025</t>
  </si>
  <si>
    <t>A hybrid approach to model hospitals and evaluate wards' performances</t>
  </si>
  <si>
    <t>A dynamic nonlinear flow algorithm to model patient flow</t>
  </si>
  <si>
    <t>Impact of the SARS-CoV-2 pandemic on hospital robustness to the spread of antibiotic-resistant bacteria in a large German university hospital</t>
  </si>
  <si>
    <t>Distinct Origins and Transmission Pathways of blaKPC Enterobacterales across Three U.S. States</t>
  </si>
  <si>
    <t>Improving containment and prevention strategies using a patient transfer network representative of patients with multidrug-resistant organisms</t>
  </si>
  <si>
    <t>Network analysis to define pediatric acute care regions in Wisconsin</t>
  </si>
  <si>
    <t>ARSINEH BOODAGHIAN ASL 1,2, LUCA MARZANO 1 , JAYANTH RAGHOTHAMA 1 , ADAM S. DARWICH 1 , NINA FALK3 , PATRIK BODEBY3 , AND SEBASTIAAN MEIJER 1</t>
  </si>
  <si>
    <t>Arsineh Boodaghian Asl, Jayanth Raghothama, Adam S. Darwich &amp; Sebastiaan Meijer</t>
  </si>
  <si>
    <t>G. Donvito,F.Burkin, T. Donker</t>
  </si>
  <si>
    <t>Zena Lapp, Rany Octariab,c, Sean M. O’Malleyd, Tu Ngoc Nguyene, Hannah Wolfordf, Ryan Crawforda, Christina Moorec, Paula Snippes Vagnoned, Diane Noele, Nadezhda Duffyf, Ali Piranig, Linda S. Thomasc, Brittany Patteed, Claire Pearsone, Sandra N. Bulensf, Sophie Hoffmana, Marion Kainerc, Melissa Anackerd, James Meekh, Isaac Seef, Kyle J. Gontjesg, Allison Chanc, Ruth Lynfieldd, Meghan Maloneye, Mary K. Haydeni,j, Evan Snitkin, Rachel B. Slaytonf</t>
  </si>
  <si>
    <t>Rany Octaria, Stephen Deppen, Allison Chan, James C. Slaughter, Pamela Talley, Rachel B. Slayton, Peter F. Rebeiro and Marion A. Kainer</t>
  </si>
  <si>
    <t>Kenneth A. Michelson1 | Katherine E. Remick2 | Emily M. Bucholz3 | Patrick D. McMullen4 | Naveen Singamsetty4 |Andrew D. Skol4 | Danielle K. Cory1 | John A. Graves5</t>
  </si>
  <si>
    <t>IEEE Access</t>
  </si>
  <si>
    <t>Journal of Hospital infection</t>
  </si>
  <si>
    <t>Journal of Clinical Microbiology</t>
  </si>
  <si>
    <t>Health Services Research</t>
  </si>
  <si>
    <t>3 (voire 2)</t>
  </si>
  <si>
    <t>Asl_2025b</t>
  </si>
  <si>
    <t>Asl_2025a</t>
  </si>
  <si>
    <t>2 (données exhaustives, un seul hôpital)</t>
  </si>
  <si>
    <t>3 (données exhaustives CMS)</t>
  </si>
  <si>
    <t>3 (données exhaustives)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</si>
</sst>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u/>
      <sz val="11"/>
      <color theme="10"/>
      <name val="Calibri"/>
      <family val="2"/>
      <scheme val="minor"/>
    </font>
    <font>
      <sz val="11"/>
      <color rgb="FF1B1B1B"/>
      <name val="Calibri"/>
      <family val="2"/>
      <scheme val="minor"/>
    </font>
    <font>
      <sz val="11"/>
      <color rgb="FF000000"/>
      <name val="Calibri"/>
      <family val="2"/>
      <scheme val="minor"/>
    </font>
    <font>
      <sz val="10"/>
      <color theme="1"/>
      <name val="Arial Unicode MS"/>
      <family val="2"/>
    </font>
  </fonts>
  <fills count="7">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
      <patternFill patternType="solid">
        <fgColor theme="5"/>
        <bgColor indexed="64"/>
      </patternFill>
    </fill>
    <fill>
      <patternFill patternType="solid">
        <fgColor theme="0" tint="-0.249977111117893"/>
        <bgColor indexed="64"/>
      </patternFill>
    </fill>
    <fill>
      <patternFill patternType="solid">
        <fgColor theme="4" tint="0.79998168889431442"/>
        <bgColor theme="4" tint="0.79998168889431442"/>
      </patternFill>
    </fill>
  </fills>
  <borders count="10">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FFFFFF"/>
      </left>
      <right style="medium">
        <color rgb="FFFFFFFF"/>
      </right>
      <top style="medium">
        <color rgb="FFFFFFFF"/>
      </top>
      <bottom style="medium">
        <color rgb="FFFFFFFF"/>
      </bottom>
      <diagonal/>
    </border>
    <border>
      <left style="thin">
        <color theme="4"/>
      </left>
      <right style="thin">
        <color theme="4"/>
      </right>
      <top style="thin">
        <color theme="4"/>
      </top>
      <bottom style="thin">
        <color theme="4"/>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4" fillId="0" borderId="0" xfId="1" applyBorder="1"/>
    <xf numFmtId="0" fontId="0" fillId="0" borderId="0" xfId="0" applyAlignment="1">
      <alignment wrapText="1"/>
    </xf>
    <xf numFmtId="20" fontId="0" fillId="0" borderId="0" xfId="0" applyNumberFormat="1" applyAlignment="1">
      <alignment wrapText="1"/>
    </xf>
    <xf numFmtId="0" fontId="0" fillId="0" borderId="2" xfId="0" applyBorder="1" applyAlignment="1">
      <alignment wrapText="1"/>
    </xf>
    <xf numFmtId="0" fontId="5" fillId="0" borderId="0" xfId="0" applyFont="1" applyAlignment="1">
      <alignment vertical="center" wrapText="1"/>
    </xf>
    <xf numFmtId="0" fontId="0" fillId="3" borderId="0" xfId="0" applyFill="1" applyAlignment="1">
      <alignment wrapText="1"/>
    </xf>
    <xf numFmtId="0" fontId="0" fillId="4" borderId="0" xfId="0" applyFill="1" applyAlignment="1">
      <alignment wrapText="1"/>
    </xf>
    <xf numFmtId="0" fontId="0" fillId="0" borderId="1" xfId="0" applyBorder="1" applyAlignment="1">
      <alignment wrapText="1"/>
    </xf>
    <xf numFmtId="0" fontId="4" fillId="0" borderId="0" xfId="1"/>
    <xf numFmtId="0" fontId="6" fillId="0" borderId="0" xfId="0" applyFont="1" applyAlignment="1">
      <alignment horizontal="left" wrapText="1" readingOrder="1"/>
    </xf>
    <xf numFmtId="0" fontId="0" fillId="0" borderId="8" xfId="0" applyBorder="1"/>
    <xf numFmtId="0" fontId="0" fillId="0" borderId="8" xfId="0" applyBorder="1" applyAlignment="1">
      <alignment wrapText="1"/>
    </xf>
    <xf numFmtId="0" fontId="7" fillId="0" borderId="0" xfId="0" quotePrefix="1" applyFont="1" applyAlignment="1">
      <alignment vertical="center"/>
    </xf>
    <xf numFmtId="0" fontId="7" fillId="0" borderId="0" xfId="0" applyFont="1" applyAlignment="1">
      <alignment vertical="center"/>
    </xf>
    <xf numFmtId="0" fontId="0" fillId="2" borderId="2" xfId="0" applyFill="1" applyBorder="1"/>
    <xf numFmtId="0" fontId="0" fillId="5" borderId="0" xfId="0" applyFill="1"/>
    <xf numFmtId="0" fontId="0" fillId="5" borderId="0" xfId="0" applyFill="1" applyAlignment="1">
      <alignment wrapText="1"/>
    </xf>
    <xf numFmtId="0" fontId="0" fillId="0" borderId="9" xfId="0" applyBorder="1"/>
    <xf numFmtId="0" fontId="0" fillId="6" borderId="0" xfId="0" applyFill="1"/>
    <xf numFmtId="49" fontId="0" fillId="0" borderId="0" xfId="0" applyNumberFormat="1" applyAlignment="1">
      <alignment wrapText="1"/>
    </xf>
    <xf numFmtId="49" fontId="7" fillId="0" borderId="0" xfId="0" applyNumberFormat="1" applyFont="1" applyAlignment="1">
      <alignment vertical="center"/>
    </xf>
    <xf numFmtId="0" fontId="1" fillId="5" borderId="5" xfId="0" applyFont="1" applyFill="1" applyBorder="1" applyAlignment="1">
      <alignment wrapText="1"/>
    </xf>
    <xf numFmtId="49" fontId="7" fillId="5" borderId="0" xfId="0" applyNumberFormat="1" applyFont="1" applyFill="1" applyAlignment="1">
      <alignment vertical="center"/>
    </xf>
  </cellXfs>
  <cellStyles count="2">
    <cellStyle name="Lien hypertexte" xfId="1" builtinId="8"/>
    <cellStyle name="Normal" xfId="0" builtinId="0"/>
  </cellStyles>
  <dxfs count="17">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fill>
        <patternFill patternType="solid">
          <fgColor indexed="64"/>
          <bgColor theme="0" tint="-0.249977111117893"/>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fill>
        <patternFill patternType="solid">
          <fgColor indexed="64"/>
          <bgColor theme="0" tint="-0.249977111117893"/>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Utilisateur invité" id="{F7B3837D-2D5A-4E64-BCC5-E125E20AA6A0}" userId="S::urn:spo:anon#c8d1b49e3dd0b5000a046205520fec16f24b256ecf34814b133ed3963e91197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DE59E-1FAB-466E-BADB-B6A4C84C89BC}" name="Tableau1" displayName="Tableau1" ref="A1:R80" totalsRowShown="0" headerRowDxfId="16" dataDxfId="14" headerRowBorderDxfId="15">
  <autoFilter ref="A1:R80" xr:uid="{B4BDE59E-1FAB-466E-BADB-B6A4C84C89BC}"/>
  <sortState xmlns:xlrd2="http://schemas.microsoft.com/office/spreadsheetml/2017/richdata2" ref="A2:R74">
    <sortCondition ref="A1:A74"/>
  </sortState>
  <tableColumns count="18">
    <tableColumn id="4" xr3:uid="{65A3361D-3A15-40FA-91DC-18620E5FD9AC}" name="author_year"/>
    <tableColumn id="5" xr3:uid="{2058D7F5-6509-4F07-A073-C172F249B5BD}" name="title" dataDxfId="13"/>
    <tableColumn id="6" xr3:uid="{35ADF358-A5D2-49DB-955D-C8306A1B3690}" name="authors"/>
    <tableColumn id="11" xr3:uid="{E05220F3-D988-41F2-83F2-00CD770CD16A}" name="year_publi"/>
    <tableColumn id="12" xr3:uid="{14103147-0C7D-40F0-B2A8-0F338A4CA2CB}" name="journal"/>
    <tableColumn id="13" xr3:uid="{972C14FE-B208-453D-B6C1-5A01B14F26E3}" name="1-Theoretical or conceptual underpinning to the research" dataDxfId="12"/>
    <tableColumn id="1" xr3:uid="{6EE70FC6-4663-42AC-95A3-F2715BF69928}" name="2-Statement of research aims" dataDxfId="11"/>
    <tableColumn id="2" xr3:uid="{37893F72-4E02-486B-9594-52FED0243266}" name="3-Clear description of research setting and target population" dataDxfId="10"/>
    <tableColumn id="3" xr3:uid="{BFEBBB9F-F5F1-402B-8EE7-DBFFE5C788D0}" name="4-The study design is appropriate to address the stated research aims" dataDxfId="9"/>
    <tableColumn id="7" xr3:uid="{8648B6AC-96EE-407E-A695-639C1E4C9D01}" name="5-Appropriate sampling to address the research aims" dataDxfId="8"/>
    <tableColumn id="8" xr3:uid="{911AE30C-7DC1-4749-A447-E08E1A3B55CD}" name="6-Rationale for choice of data collection tools" dataDxfId="7"/>
    <tableColumn id="9" xr3:uid="{0C6E8544-CE5E-43E8-9509-633C98D96938}" name="7-The format and content of data collection tool is appropriate to address the stated research aims" dataDxfId="6"/>
    <tableColumn id="10" xr3:uid="{A63FD620-3546-4C47-8F4F-92431746C476}" name="8-Description of data collection procedure" dataDxfId="5"/>
    <tableColumn id="14" xr3:uid="{9A71DC20-7692-40AA-BF4B-B28A0FAAE746}" name="9-Recruitment data provided" dataDxfId="4"/>
    <tableColumn id="15" xr3:uid="{47289CD0-5276-4335-8EBC-E063F6225A4B}" name="10-Justification of analytic method selected" dataDxfId="3"/>
    <tableColumn id="16" xr3:uid="{93EC0195-396A-4E98-84E3-7306A1D68DD2}" name="11-The method of analysis was appropriate to answer the research aims" dataDxfId="2"/>
    <tableColumn id="19" xr3:uid="{DDC57EB9-5028-448A-8CC7-3D95A31CD3B4}" name="12-Evidence that the research stakeholders have been considered in research design or conduct" dataDxfId="1"/>
    <tableColumn id="18" xr3:uid="{0A14D541-206A-40B3-8242-E9ECDC997816}" name="13-Strengths and limitations critically discussed"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06-04T10:18:42.38" personId="{F7B3837D-2D5A-4E64-BCC5-E125E20AA6A0}" id="{FCC5C233-E594-49E2-9B2B-65CF6A0CF9C2}" done="1">
    <text>Pas forcément facile à remplir. On peut remplir de manière automatique un champ du type "subject category" à partir du nom du journal ?</text>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4-06-04T10:18:42.38" personId="{F7B3837D-2D5A-4E64-BCC5-E125E20AA6A0}" id="{FCC5C233-E594-49E3-9B2B-65CF6A0CF9C2}" done="1">
    <text>Pas forcément facile à remplir. On peut remplir de manière automatique un champ du type "subject category" à partir du nom du journal ?</text>
  </threadedComment>
  <threadedComment ref="K1" dT="2024-06-04T10:27:46.78" personId="{F7B3837D-2D5A-4E64-BCC5-E125E20AA6A0}" id="{30094996-D1B4-43C5-841F-AEB96D8DBC02}" done="1">
    <text xml:space="preserve">Un même article pourra avoir plusieurs objectifs... </text>
  </threadedComment>
  <threadedComment ref="L1" dT="2024-06-04T10:28:49.55" personId="{F7B3837D-2D5A-4E64-BCC5-E125E20AA6A0}" id="{47AB4B16-5E9A-4812-8C95-F0D93526E39F}" done="1">
    <text>Pour clarifier, vous voulez indiquer ici de quel réseau il s'agit pour qu'on voie que plusieurs papiers s'appuient sur le même ? Je suis d'accord mais il faut changer l'appellation.</text>
  </threadedComment>
  <threadedComment ref="M1" dT="2024-06-04T10:27:14.54" personId="{F7B3837D-2D5A-4E64-BCC5-E125E20AA6A0}" id="{DD57070E-3E8B-4353-BA29-D5A1D0948537}" done="1">
    <text>Trop vague. Je mettrais : "source de données sur les transferts de patients" (ex. données administratives, électroniques, déclaratives...) ?</text>
  </threadedComment>
  <threadedComment ref="S1" dT="2024-06-04T10:30:37.79" personId="{F7B3837D-2D5A-4E64-BCC5-E125E20AA6A0}" id="{2035E798-4905-4B1E-9E60-B1D743A2C853}" done="1">
    <text>Ajouter une colonne "nombre de sites géographiques" ?</text>
  </threadedComment>
  <threadedComment ref="Z1" dT="2024-06-04T10:30:21.47" personId="{F7B3837D-2D5A-4E64-BCC5-E125E20AA6A0}" id="{589F5891-96C8-4A34-93E0-AB4297675410}" done="1">
    <text>Local aussi</text>
  </threadedComment>
  <threadedComment ref="AB1" dT="2024-06-04T10:31:19.41" personId="{F7B3837D-2D5A-4E64-BCC5-E125E20AA6A0}" id="{5BA08185-06E2-4B8C-ADFD-A2365972989D}">
    <text>On peut distinguer le pays des données et la nationalité du premier (ou corresponding) auteur</text>
  </threadedComment>
  <threadedComment ref="AI1" dT="2024-06-04T10:31:36.89" personId="{F7B3837D-2D5A-4E64-BCC5-E125E20AA6A0}" id="{0F5ECE53-321A-4F93-A74E-B3A18664052F}">
    <text>C'est vague, vous mettez quoi là dedans ?</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4-06-04T10:18:42.38" personId="{F7B3837D-2D5A-4E64-BCC5-E125E20AA6A0}" id="{FCC5C233-E594-49E4-9B2B-65CF6A0CF9C2}" done="1">
    <text>Pas forcément facile à remplir. On peut remplir de manière automatique un champ du type "subject category" à partir du nom du journal ?</text>
  </threadedComment>
  <threadedComment ref="J1" dT="2024-06-04T10:27:46.78" personId="{F7B3837D-2D5A-4E64-BCC5-E125E20AA6A0}" id="{30094996-D1B4-43C6-841F-AEB96D8DBC02}" done="1">
    <text xml:space="preserve">Un même article pourra avoir plusieurs objectifs... </text>
  </threadedComment>
  <threadedComment ref="K1" dT="2024-06-04T10:28:49.55" personId="{F7B3837D-2D5A-4E64-BCC5-E125E20AA6A0}" id="{47AB4B16-5E9A-4813-8C95-F0D93526E39F}" done="1">
    <text>Pour clarifier, vous voulez indiquer ici de quel réseau il s'agit pour qu'on voie que plusieurs papiers s'appuient sur le même ? Je suis d'accord mais il faut changer l'appellation.</text>
  </threadedComment>
  <threadedComment ref="L1" dT="2024-06-04T10:27:14.54" personId="{F7B3837D-2D5A-4E64-BCC5-E125E20AA6A0}" id="{DD57070E-3E8B-4354-BA29-D5A1D0948537}" done="1">
    <text>Trop vague. Je mettrais : "source de données sur les transferts de patients" (ex. données administratives, électroniques, déclaratives...) ?</text>
  </threadedComment>
  <threadedComment ref="R1" dT="2024-06-04T10:30:37.79" personId="{F7B3837D-2D5A-4E64-BCC5-E125E20AA6A0}" id="{2035E798-4905-4B1F-9E60-B1D743A2C853}" done="1">
    <text>Ajouter une colonne "nombre de sites géographiques" ?</text>
  </threadedComment>
  <threadedComment ref="X1" dT="2024-06-04T10:30:21.47" personId="{F7B3837D-2D5A-4E64-BCC5-E125E20AA6A0}" id="{589F5891-96C8-4A35-93E0-AB4297675410}" done="1">
    <text>Local aussi</text>
  </threadedComment>
  <threadedComment ref="Z1" dT="2024-06-04T10:31:19.41" personId="{F7B3837D-2D5A-4E64-BCC5-E125E20AA6A0}" id="{5BA08185-06E2-4B8D-ADFD-A2365972989D}">
    <text>On peut distinguer le pays des données et la nationalité du premier (ou corresponding) auteur</text>
  </threadedComment>
  <threadedComment ref="AG1" dT="2024-06-04T10:31:36.89" personId="{F7B3837D-2D5A-4E64-BCC5-E125E20AA6A0}" id="{0F5ECE53-321A-4F94-A74E-B3A18664052F}">
    <text>C'est vague, vous mettez quoi là dedans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dx.doi.org/10.1097/MLR.0b013e318197b1f5" TargetMode="External"/><Relationship Id="rId7" Type="http://schemas.openxmlformats.org/officeDocument/2006/relationships/vmlDrawing" Target="../drawings/vmlDrawing2.vml"/><Relationship Id="rId2" Type="http://schemas.openxmlformats.org/officeDocument/2006/relationships/hyperlink" Target="https://doi.org/10.1378/chest.08-1052" TargetMode="External"/><Relationship Id="rId1" Type="http://schemas.openxmlformats.org/officeDocument/2006/relationships/hyperlink" Target="https://dx.doi.org/10.1038/s41598-017-02245-7" TargetMode="External"/><Relationship Id="rId6" Type="http://schemas.openxmlformats.org/officeDocument/2006/relationships/printerSettings" Target="../printerSettings/printerSettings2.bin"/><Relationship Id="rId5" Type="http://schemas.openxmlformats.org/officeDocument/2006/relationships/hyperlink" Target="https://dx.doi.org/10.1017/ice.2022.102" TargetMode="External"/><Relationship Id="rId4" Type="http://schemas.openxmlformats.org/officeDocument/2006/relationships/hyperlink" Target="http://dx.doi.org/10.1007/s00134-011-2341-y" TargetMode="External"/><Relationship Id="rId9"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i.org/10.1136/bmjopen-2021-054545" TargetMode="Externa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80"/>
  <sheetViews>
    <sheetView tabSelected="1" topLeftCell="A3" zoomScale="70" zoomScaleNormal="70" workbookViewId="0">
      <pane xSplit="1" topLeftCell="D1" activePane="topRight" state="frozen"/>
      <selection pane="topRight" activeCell="H10" sqref="H10"/>
    </sheetView>
  </sheetViews>
  <sheetFormatPr baseColWidth="10" defaultColWidth="8.875" defaultRowHeight="14.95" customHeight="1" x14ac:dyDescent="0.25"/>
  <cols>
    <col min="1" max="1" width="19.875" customWidth="1"/>
    <col min="2" max="2" width="67.375" style="10" customWidth="1"/>
    <col min="3" max="3" width="177.75" customWidth="1"/>
    <col min="4" max="4" width="19.25" customWidth="1"/>
    <col min="5" max="5" width="48" customWidth="1"/>
    <col min="6" max="6" width="40.375" style="10" customWidth="1"/>
    <col min="7" max="7" width="36.5" customWidth="1"/>
    <col min="8" max="8" width="35.375" customWidth="1"/>
    <col min="9" max="9" width="30.75" customWidth="1"/>
    <col min="10" max="10" width="25.5" style="24" customWidth="1"/>
    <col min="11" max="11" width="29.375" customWidth="1"/>
    <col min="12" max="12" width="40.75" customWidth="1"/>
    <col min="13" max="13" width="29.75" style="24" hidden="1" customWidth="1"/>
    <col min="14" max="14" width="28.875" customWidth="1"/>
    <col min="15" max="15" width="23.375" customWidth="1"/>
    <col min="16" max="16" width="32.5" customWidth="1"/>
    <col min="17" max="17" width="42.625" customWidth="1"/>
    <col min="18" max="18" width="25.625" customWidth="1"/>
  </cols>
  <sheetData>
    <row r="1" spans="1:45" s="6" customFormat="1" ht="51.65" customHeight="1" thickBot="1" x14ac:dyDescent="0.3">
      <c r="A1" s="6" t="s">
        <v>609</v>
      </c>
      <c r="B1" s="6" t="s">
        <v>590</v>
      </c>
      <c r="C1" s="6" t="s">
        <v>591</v>
      </c>
      <c r="D1" s="6" t="s">
        <v>592</v>
      </c>
      <c r="E1" s="6" t="s">
        <v>593</v>
      </c>
      <c r="F1" s="6" t="s">
        <v>641</v>
      </c>
      <c r="G1" s="6" t="s">
        <v>642</v>
      </c>
      <c r="H1" s="6" t="s">
        <v>643</v>
      </c>
      <c r="I1" s="6" t="s">
        <v>644</v>
      </c>
      <c r="J1" s="30" t="s">
        <v>645</v>
      </c>
      <c r="K1" s="6" t="s">
        <v>646</v>
      </c>
      <c r="L1" s="6" t="s">
        <v>647</v>
      </c>
      <c r="M1" s="30" t="s">
        <v>648</v>
      </c>
      <c r="N1" s="6" t="s">
        <v>649</v>
      </c>
      <c r="O1" s="6" t="s">
        <v>650</v>
      </c>
      <c r="P1" s="6" t="s">
        <v>651</v>
      </c>
      <c r="Q1" s="6" t="s">
        <v>652</v>
      </c>
      <c r="R1" s="6" t="s">
        <v>653</v>
      </c>
    </row>
    <row r="2" spans="1:45" ht="28.55" x14ac:dyDescent="0.25">
      <c r="A2" s="26" t="s">
        <v>45</v>
      </c>
      <c r="B2" s="10" t="s">
        <v>46</v>
      </c>
      <c r="C2" t="s">
        <v>47</v>
      </c>
      <c r="D2">
        <v>2015</v>
      </c>
      <c r="E2" t="s">
        <v>48</v>
      </c>
      <c r="F2" s="28" t="s">
        <v>640</v>
      </c>
      <c r="G2" s="29">
        <v>3</v>
      </c>
      <c r="H2" s="29">
        <v>3</v>
      </c>
      <c r="I2" s="29">
        <v>3</v>
      </c>
      <c r="J2" s="31" t="s">
        <v>628</v>
      </c>
      <c r="K2" s="29" t="s">
        <v>683</v>
      </c>
      <c r="L2" s="29" t="s">
        <v>625</v>
      </c>
      <c r="M2" s="31" t="s">
        <v>624</v>
      </c>
      <c r="N2" s="29" t="s">
        <v>654</v>
      </c>
      <c r="O2" s="29" t="s">
        <v>727</v>
      </c>
      <c r="P2" s="29" t="s">
        <v>654</v>
      </c>
      <c r="Q2" s="29" t="s">
        <v>654</v>
      </c>
      <c r="R2" s="29" t="s">
        <v>625</v>
      </c>
    </row>
    <row r="3" spans="1:45" s="1" customFormat="1" ht="28.55" x14ac:dyDescent="0.25">
      <c r="A3" t="s">
        <v>597</v>
      </c>
      <c r="B3" s="10" t="s">
        <v>453</v>
      </c>
      <c r="C3" t="s">
        <v>454</v>
      </c>
      <c r="D3">
        <v>2017</v>
      </c>
      <c r="E3" t="s">
        <v>455</v>
      </c>
      <c r="F3" s="28" t="s">
        <v>640</v>
      </c>
      <c r="G3" s="29" t="s">
        <v>626</v>
      </c>
      <c r="H3" s="29" t="s">
        <v>626</v>
      </c>
      <c r="I3" s="29" t="s">
        <v>658</v>
      </c>
      <c r="J3" s="31" t="s">
        <v>627</v>
      </c>
      <c r="K3" s="29" t="s">
        <v>683</v>
      </c>
      <c r="L3" s="29" t="s">
        <v>703</v>
      </c>
      <c r="M3" s="31" t="s">
        <v>624</v>
      </c>
      <c r="N3" s="29" t="s">
        <v>654</v>
      </c>
      <c r="O3" s="29" t="s">
        <v>655</v>
      </c>
      <c r="P3" s="29" t="s">
        <v>655</v>
      </c>
      <c r="Q3" s="29" t="s">
        <v>654</v>
      </c>
      <c r="R3" s="29" t="s">
        <v>625</v>
      </c>
      <c r="S3"/>
      <c r="T3"/>
      <c r="U3"/>
      <c r="V3"/>
      <c r="W3"/>
      <c r="X3"/>
      <c r="Y3"/>
      <c r="Z3"/>
      <c r="AA3"/>
      <c r="AB3"/>
      <c r="AC3"/>
      <c r="AD3"/>
      <c r="AE3"/>
      <c r="AF3"/>
      <c r="AG3"/>
      <c r="AH3"/>
      <c r="AI3"/>
      <c r="AJ3"/>
      <c r="AK3"/>
      <c r="AL3"/>
      <c r="AM3"/>
      <c r="AN3"/>
      <c r="AO3"/>
      <c r="AP3"/>
      <c r="AQ3"/>
      <c r="AR3"/>
      <c r="AS3"/>
    </row>
    <row r="4" spans="1:45" s="1" customFormat="1" ht="28.55" x14ac:dyDescent="0.25">
      <c r="A4" t="s">
        <v>58</v>
      </c>
      <c r="B4" s="10" t="s">
        <v>59</v>
      </c>
      <c r="C4" t="s">
        <v>60</v>
      </c>
      <c r="D4">
        <v>2023</v>
      </c>
      <c r="E4" t="s">
        <v>61</v>
      </c>
      <c r="F4" s="28" t="s">
        <v>626</v>
      </c>
      <c r="G4" s="29" t="s">
        <v>626</v>
      </c>
      <c r="H4" s="29" t="s">
        <v>626</v>
      </c>
      <c r="I4" s="29" t="s">
        <v>626</v>
      </c>
      <c r="J4" s="31" t="s">
        <v>627</v>
      </c>
      <c r="K4" s="29" t="s">
        <v>684</v>
      </c>
      <c r="L4" s="29" t="s">
        <v>704</v>
      </c>
      <c r="M4" s="31" t="s">
        <v>624</v>
      </c>
      <c r="N4" s="29" t="s">
        <v>654</v>
      </c>
      <c r="O4" s="29" t="s">
        <v>728</v>
      </c>
      <c r="P4" s="29" t="s">
        <v>654</v>
      </c>
      <c r="Q4" s="29" t="s">
        <v>654</v>
      </c>
      <c r="R4" s="29" t="s">
        <v>625</v>
      </c>
      <c r="S4"/>
      <c r="T4"/>
      <c r="U4"/>
      <c r="V4"/>
      <c r="W4"/>
      <c r="X4"/>
      <c r="Y4"/>
      <c r="Z4"/>
      <c r="AA4"/>
      <c r="AB4"/>
      <c r="AC4"/>
      <c r="AD4"/>
      <c r="AE4"/>
      <c r="AF4"/>
      <c r="AG4"/>
      <c r="AH4"/>
      <c r="AI4"/>
      <c r="AJ4"/>
      <c r="AK4"/>
      <c r="AL4"/>
      <c r="AM4"/>
      <c r="AN4"/>
      <c r="AO4"/>
      <c r="AP4"/>
      <c r="AQ4"/>
      <c r="AR4"/>
      <c r="AS4"/>
    </row>
    <row r="5" spans="1:45" s="1" customFormat="1" ht="28.55" x14ac:dyDescent="0.25">
      <c r="A5" t="s">
        <v>594</v>
      </c>
      <c r="B5" s="10" t="s">
        <v>65</v>
      </c>
      <c r="C5" t="s">
        <v>66</v>
      </c>
      <c r="D5">
        <v>2014</v>
      </c>
      <c r="E5" t="s">
        <v>67</v>
      </c>
      <c r="F5" s="28" t="s">
        <v>654</v>
      </c>
      <c r="G5" s="29" t="s">
        <v>626</v>
      </c>
      <c r="H5" s="29" t="s">
        <v>659</v>
      </c>
      <c r="I5" s="29" t="s">
        <v>660</v>
      </c>
      <c r="J5" s="31" t="s">
        <v>627</v>
      </c>
      <c r="K5" s="29" t="s">
        <v>654</v>
      </c>
      <c r="L5" s="29" t="s">
        <v>700</v>
      </c>
      <c r="M5" s="31" t="s">
        <v>624</v>
      </c>
      <c r="N5" s="29" t="s">
        <v>655</v>
      </c>
      <c r="O5" s="29" t="s">
        <v>729</v>
      </c>
      <c r="P5" s="29" t="s">
        <v>625</v>
      </c>
      <c r="Q5" s="29" t="s">
        <v>654</v>
      </c>
      <c r="R5" s="29" t="s">
        <v>625</v>
      </c>
      <c r="S5"/>
      <c r="T5"/>
      <c r="U5"/>
      <c r="V5"/>
      <c r="W5"/>
      <c r="X5"/>
      <c r="Y5"/>
      <c r="Z5"/>
      <c r="AA5"/>
      <c r="AB5"/>
      <c r="AC5"/>
      <c r="AD5"/>
      <c r="AE5"/>
      <c r="AF5"/>
      <c r="AG5"/>
      <c r="AH5"/>
      <c r="AI5"/>
      <c r="AJ5"/>
      <c r="AK5"/>
      <c r="AL5"/>
      <c r="AM5"/>
      <c r="AN5"/>
      <c r="AO5"/>
      <c r="AP5"/>
      <c r="AQ5"/>
      <c r="AR5"/>
      <c r="AS5"/>
    </row>
    <row r="6" spans="1:45" s="1" customFormat="1" ht="57.1" x14ac:dyDescent="0.25">
      <c r="A6" s="27" t="s">
        <v>70</v>
      </c>
      <c r="B6" s="10" t="s">
        <v>71</v>
      </c>
      <c r="C6" t="s">
        <v>72</v>
      </c>
      <c r="D6">
        <v>2017</v>
      </c>
      <c r="E6" t="s">
        <v>73</v>
      </c>
      <c r="F6" s="28" t="s">
        <v>678</v>
      </c>
      <c r="G6" s="29" t="s">
        <v>654</v>
      </c>
      <c r="H6" s="29" t="s">
        <v>626</v>
      </c>
      <c r="I6" s="29" t="s">
        <v>661</v>
      </c>
      <c r="J6" s="31" t="s">
        <v>627</v>
      </c>
      <c r="K6" s="29" t="s">
        <v>685</v>
      </c>
      <c r="L6" s="29" t="s">
        <v>705</v>
      </c>
      <c r="M6" s="31" t="s">
        <v>624</v>
      </c>
      <c r="N6" s="29" t="s">
        <v>654</v>
      </c>
      <c r="O6" s="29" t="s">
        <v>730</v>
      </c>
      <c r="P6" s="29" t="s">
        <v>625</v>
      </c>
      <c r="Q6" s="29" t="s">
        <v>654</v>
      </c>
      <c r="R6" s="29" t="s">
        <v>654</v>
      </c>
      <c r="S6"/>
      <c r="T6"/>
      <c r="U6"/>
      <c r="V6"/>
      <c r="W6"/>
      <c r="X6"/>
      <c r="Y6"/>
      <c r="Z6"/>
      <c r="AA6"/>
      <c r="AB6"/>
      <c r="AC6"/>
      <c r="AD6"/>
      <c r="AE6"/>
      <c r="AF6"/>
      <c r="AG6"/>
      <c r="AH6"/>
      <c r="AI6"/>
      <c r="AJ6"/>
      <c r="AK6"/>
      <c r="AL6"/>
      <c r="AM6"/>
      <c r="AN6"/>
      <c r="AO6"/>
      <c r="AP6"/>
      <c r="AQ6"/>
      <c r="AR6"/>
      <c r="AS6"/>
    </row>
    <row r="7" spans="1:45" s="1" customFormat="1" ht="14.3" x14ac:dyDescent="0.25">
      <c r="A7" t="s">
        <v>553</v>
      </c>
      <c r="B7" s="10" t="s">
        <v>554</v>
      </c>
      <c r="C7" t="s">
        <v>555</v>
      </c>
      <c r="D7">
        <v>2016</v>
      </c>
      <c r="E7" t="s">
        <v>587</v>
      </c>
      <c r="F7" s="28" t="s">
        <v>639</v>
      </c>
      <c r="G7" s="29" t="s">
        <v>626</v>
      </c>
      <c r="H7" s="29" t="s">
        <v>662</v>
      </c>
      <c r="I7" s="29" t="s">
        <v>639</v>
      </c>
      <c r="J7" s="31" t="s">
        <v>627</v>
      </c>
      <c r="K7" s="29" t="s">
        <v>686</v>
      </c>
      <c r="L7" s="29" t="s">
        <v>706</v>
      </c>
      <c r="M7" s="31" t="s">
        <v>624</v>
      </c>
      <c r="N7" s="29" t="s">
        <v>654</v>
      </c>
      <c r="O7" s="29" t="s">
        <v>731</v>
      </c>
      <c r="P7" s="29" t="s">
        <v>626</v>
      </c>
      <c r="Q7" s="29" t="s">
        <v>654</v>
      </c>
      <c r="R7" s="29" t="s">
        <v>655</v>
      </c>
      <c r="S7"/>
      <c r="T7"/>
      <c r="U7"/>
      <c r="V7"/>
      <c r="W7"/>
      <c r="X7"/>
      <c r="Y7"/>
      <c r="Z7"/>
      <c r="AA7"/>
      <c r="AB7"/>
      <c r="AC7"/>
      <c r="AD7"/>
      <c r="AE7"/>
      <c r="AF7"/>
      <c r="AG7"/>
      <c r="AH7"/>
      <c r="AI7"/>
      <c r="AJ7"/>
      <c r="AK7"/>
      <c r="AL7"/>
      <c r="AM7"/>
      <c r="AN7"/>
      <c r="AO7"/>
      <c r="AP7"/>
      <c r="AQ7"/>
      <c r="AR7"/>
      <c r="AS7"/>
    </row>
    <row r="8" spans="1:45" s="1" customFormat="1" ht="103.75" customHeight="1" x14ac:dyDescent="0.25">
      <c r="A8" t="s">
        <v>556</v>
      </c>
      <c r="B8" s="10" t="s">
        <v>557</v>
      </c>
      <c r="C8" t="s">
        <v>558</v>
      </c>
      <c r="D8">
        <v>2017</v>
      </c>
      <c r="E8" t="s">
        <v>559</v>
      </c>
      <c r="F8" s="28" t="s">
        <v>639</v>
      </c>
      <c r="G8" s="29" t="s">
        <v>663</v>
      </c>
      <c r="H8" s="29" t="s">
        <v>662</v>
      </c>
      <c r="I8" s="29" t="s">
        <v>639</v>
      </c>
      <c r="J8" s="31" t="s">
        <v>627</v>
      </c>
      <c r="K8" s="29" t="s">
        <v>687</v>
      </c>
      <c r="L8" s="29" t="s">
        <v>707</v>
      </c>
      <c r="M8" s="31" t="s">
        <v>624</v>
      </c>
      <c r="N8" s="29" t="s">
        <v>654</v>
      </c>
      <c r="O8" s="29" t="s">
        <v>732</v>
      </c>
      <c r="P8" s="29" t="s">
        <v>626</v>
      </c>
      <c r="Q8" s="29" t="s">
        <v>654</v>
      </c>
      <c r="R8" s="29" t="s">
        <v>655</v>
      </c>
      <c r="S8"/>
      <c r="T8"/>
      <c r="U8"/>
      <c r="V8"/>
      <c r="W8"/>
      <c r="X8"/>
      <c r="Y8"/>
      <c r="Z8"/>
      <c r="AA8"/>
      <c r="AB8"/>
      <c r="AC8"/>
      <c r="AD8"/>
      <c r="AE8"/>
      <c r="AF8"/>
      <c r="AG8"/>
      <c r="AH8"/>
      <c r="AI8"/>
      <c r="AJ8"/>
      <c r="AK8"/>
      <c r="AL8"/>
      <c r="AM8"/>
      <c r="AN8"/>
      <c r="AO8"/>
      <c r="AP8"/>
      <c r="AQ8"/>
      <c r="AR8"/>
      <c r="AS8"/>
    </row>
    <row r="9" spans="1:45" ht="28.55" x14ac:dyDescent="0.25">
      <c r="A9" t="s">
        <v>75</v>
      </c>
      <c r="B9" s="10" t="s">
        <v>76</v>
      </c>
      <c r="C9" t="s">
        <v>77</v>
      </c>
      <c r="D9">
        <v>2023</v>
      </c>
      <c r="E9" t="s">
        <v>73</v>
      </c>
      <c r="F9" s="28" t="s">
        <v>626</v>
      </c>
      <c r="G9" s="29" t="s">
        <v>626</v>
      </c>
      <c r="H9" s="29" t="s">
        <v>626</v>
      </c>
      <c r="I9" s="29" t="s">
        <v>626</v>
      </c>
      <c r="J9" s="31" t="s">
        <v>627</v>
      </c>
      <c r="K9" s="29" t="s">
        <v>629</v>
      </c>
      <c r="L9" s="29" t="s">
        <v>708</v>
      </c>
      <c r="M9" s="31" t="s">
        <v>624</v>
      </c>
      <c r="N9" s="29" t="s">
        <v>654</v>
      </c>
      <c r="O9" s="29" t="s">
        <v>733</v>
      </c>
      <c r="P9" s="29" t="s">
        <v>626</v>
      </c>
      <c r="Q9" s="29" t="s">
        <v>654</v>
      </c>
      <c r="R9" s="29" t="s">
        <v>626</v>
      </c>
    </row>
    <row r="10" spans="1:45" ht="14.3" x14ac:dyDescent="0.25">
      <c r="A10" t="s">
        <v>456</v>
      </c>
      <c r="B10" s="10" t="s">
        <v>457</v>
      </c>
      <c r="C10" t="s">
        <v>458</v>
      </c>
      <c r="D10">
        <v>2022</v>
      </c>
      <c r="E10" t="s">
        <v>459</v>
      </c>
      <c r="F10" s="28" t="s">
        <v>626</v>
      </c>
      <c r="G10" s="29" t="s">
        <v>663</v>
      </c>
      <c r="H10" s="29" t="s">
        <v>626</v>
      </c>
      <c r="I10" s="29" t="s">
        <v>626</v>
      </c>
      <c r="J10" s="31" t="s">
        <v>627</v>
      </c>
      <c r="K10" s="29" t="s">
        <v>626</v>
      </c>
      <c r="L10" s="29" t="s">
        <v>709</v>
      </c>
      <c r="M10" s="31" t="s">
        <v>624</v>
      </c>
      <c r="N10" s="29" t="s">
        <v>654</v>
      </c>
      <c r="O10" s="29" t="s">
        <v>734</v>
      </c>
      <c r="P10" s="29" t="s">
        <v>626</v>
      </c>
      <c r="Q10" s="29" t="s">
        <v>654</v>
      </c>
      <c r="R10" s="29" t="s">
        <v>626</v>
      </c>
    </row>
    <row r="11" spans="1:45" ht="42.8" x14ac:dyDescent="0.25">
      <c r="A11" t="s">
        <v>424</v>
      </c>
      <c r="B11" s="10" t="s">
        <v>425</v>
      </c>
      <c r="C11" t="s">
        <v>426</v>
      </c>
      <c r="D11">
        <v>2020</v>
      </c>
      <c r="E11" t="s">
        <v>365</v>
      </c>
      <c r="F11" s="28" t="s">
        <v>679</v>
      </c>
      <c r="G11" s="29" t="s">
        <v>626</v>
      </c>
      <c r="H11" s="29" t="s">
        <v>626</v>
      </c>
      <c r="I11" s="29" t="s">
        <v>626</v>
      </c>
      <c r="J11" s="31" t="s">
        <v>627</v>
      </c>
      <c r="K11" s="29" t="s">
        <v>688</v>
      </c>
      <c r="L11" s="29" t="s">
        <v>710</v>
      </c>
      <c r="M11" s="31" t="s">
        <v>624</v>
      </c>
      <c r="N11" s="29" t="s">
        <v>655</v>
      </c>
      <c r="O11" s="29" t="s">
        <v>654</v>
      </c>
      <c r="P11" s="29" t="s">
        <v>626</v>
      </c>
      <c r="Q11" s="29" t="s">
        <v>654</v>
      </c>
      <c r="R11" s="29" t="s">
        <v>626</v>
      </c>
    </row>
    <row r="12" spans="1:45" ht="28.55" x14ac:dyDescent="0.25">
      <c r="A12" t="s">
        <v>98</v>
      </c>
      <c r="B12" s="10" t="s">
        <v>99</v>
      </c>
      <c r="C12" t="s">
        <v>100</v>
      </c>
      <c r="D12">
        <v>2019</v>
      </c>
      <c r="E12" t="s">
        <v>101</v>
      </c>
      <c r="F12" s="28" t="s">
        <v>679</v>
      </c>
      <c r="G12" s="29" t="s">
        <v>626</v>
      </c>
      <c r="H12" s="29" t="s">
        <v>626</v>
      </c>
      <c r="I12" s="29" t="s">
        <v>626</v>
      </c>
      <c r="J12" s="31" t="s">
        <v>630</v>
      </c>
      <c r="K12" s="29" t="s">
        <v>689</v>
      </c>
      <c r="L12" s="29" t="s">
        <v>711</v>
      </c>
      <c r="M12" s="31" t="s">
        <v>624</v>
      </c>
      <c r="N12" s="29" t="s">
        <v>655</v>
      </c>
      <c r="O12" s="29" t="s">
        <v>735</v>
      </c>
      <c r="P12" s="29" t="s">
        <v>625</v>
      </c>
      <c r="Q12" s="29" t="s">
        <v>654</v>
      </c>
      <c r="R12" s="29" t="s">
        <v>625</v>
      </c>
    </row>
    <row r="13" spans="1:45" ht="28.55" x14ac:dyDescent="0.25">
      <c r="A13" t="s">
        <v>105</v>
      </c>
      <c r="B13" s="10" t="s">
        <v>106</v>
      </c>
      <c r="C13" t="s">
        <v>107</v>
      </c>
      <c r="D13">
        <v>2017</v>
      </c>
      <c r="E13" t="s">
        <v>108</v>
      </c>
      <c r="F13" s="28" t="s">
        <v>626</v>
      </c>
      <c r="G13" s="29" t="s">
        <v>626</v>
      </c>
      <c r="H13" s="29" t="s">
        <v>664</v>
      </c>
      <c r="I13" s="29" t="s">
        <v>626</v>
      </c>
      <c r="J13" s="31" t="s">
        <v>627</v>
      </c>
      <c r="K13" s="29" t="s">
        <v>689</v>
      </c>
      <c r="L13" s="29" t="s">
        <v>712</v>
      </c>
      <c r="M13" s="31" t="s">
        <v>624</v>
      </c>
      <c r="N13" s="29" t="s">
        <v>655</v>
      </c>
      <c r="O13" s="29" t="s">
        <v>626</v>
      </c>
      <c r="P13" s="29" t="s">
        <v>625</v>
      </c>
      <c r="Q13" s="29" t="s">
        <v>654</v>
      </c>
      <c r="R13" s="29" t="s">
        <v>655</v>
      </c>
    </row>
    <row r="14" spans="1:45" ht="28.55" x14ac:dyDescent="0.25">
      <c r="A14" t="s">
        <v>110</v>
      </c>
      <c r="B14" s="10" t="s">
        <v>111</v>
      </c>
      <c r="C14" t="s">
        <v>112</v>
      </c>
      <c r="D14">
        <v>2016</v>
      </c>
      <c r="E14" t="s">
        <v>113</v>
      </c>
      <c r="F14" s="28" t="s">
        <v>680</v>
      </c>
      <c r="G14" s="29" t="s">
        <v>626</v>
      </c>
      <c r="H14" s="29" t="s">
        <v>665</v>
      </c>
      <c r="I14" s="29" t="s">
        <v>666</v>
      </c>
      <c r="J14" s="31" t="s">
        <v>627</v>
      </c>
      <c r="K14" s="29" t="s">
        <v>690</v>
      </c>
      <c r="L14" s="29" t="s">
        <v>700</v>
      </c>
      <c r="M14" s="31" t="s">
        <v>624</v>
      </c>
      <c r="N14" s="29" t="s">
        <v>655</v>
      </c>
      <c r="O14" s="29" t="s">
        <v>655</v>
      </c>
      <c r="P14" s="29" t="s">
        <v>654</v>
      </c>
      <c r="Q14" s="29" t="s">
        <v>654</v>
      </c>
      <c r="R14" s="29" t="s">
        <v>655</v>
      </c>
    </row>
    <row r="15" spans="1:45" ht="28.55" x14ac:dyDescent="0.25">
      <c r="A15" t="s">
        <v>460</v>
      </c>
      <c r="B15" s="10" t="s">
        <v>461</v>
      </c>
      <c r="C15" t="s">
        <v>462</v>
      </c>
      <c r="D15">
        <v>2021</v>
      </c>
      <c r="E15" t="s">
        <v>599</v>
      </c>
      <c r="F15" s="28" t="s">
        <v>626</v>
      </c>
      <c r="G15" s="29" t="s">
        <v>626</v>
      </c>
      <c r="H15" s="29" t="s">
        <v>668</v>
      </c>
      <c r="I15" s="29" t="s">
        <v>667</v>
      </c>
      <c r="J15" s="31" t="s">
        <v>627</v>
      </c>
      <c r="K15" s="29" t="s">
        <v>696</v>
      </c>
      <c r="L15" s="29" t="s">
        <v>631</v>
      </c>
      <c r="M15" s="31" t="s">
        <v>624</v>
      </c>
      <c r="N15" s="29" t="s">
        <v>654</v>
      </c>
      <c r="O15" s="29" t="s">
        <v>654</v>
      </c>
      <c r="P15" s="29" t="s">
        <v>625</v>
      </c>
      <c r="Q15" s="29" t="s">
        <v>654</v>
      </c>
      <c r="R15" s="29" t="s">
        <v>654</v>
      </c>
    </row>
    <row r="16" spans="1:45" ht="28.55" x14ac:dyDescent="0.25">
      <c r="A16" t="s">
        <v>114</v>
      </c>
      <c r="B16" s="10" t="s">
        <v>115</v>
      </c>
      <c r="C16" t="s">
        <v>116</v>
      </c>
      <c r="D16">
        <v>2014</v>
      </c>
      <c r="E16" t="s">
        <v>600</v>
      </c>
      <c r="F16" s="28" t="s">
        <v>626</v>
      </c>
      <c r="G16" s="29" t="s">
        <v>626</v>
      </c>
      <c r="H16" s="29" t="s">
        <v>626</v>
      </c>
      <c r="I16" s="29" t="s">
        <v>626</v>
      </c>
      <c r="J16" s="31" t="s">
        <v>632</v>
      </c>
      <c r="K16" s="29" t="s">
        <v>691</v>
      </c>
      <c r="L16" s="29" t="s">
        <v>702</v>
      </c>
      <c r="M16" s="31" t="s">
        <v>624</v>
      </c>
      <c r="N16" s="29" t="s">
        <v>655</v>
      </c>
      <c r="O16" s="29" t="s">
        <v>626</v>
      </c>
      <c r="P16" s="29" t="s">
        <v>625</v>
      </c>
      <c r="Q16" s="29" t="s">
        <v>654</v>
      </c>
      <c r="R16" s="29" t="s">
        <v>654</v>
      </c>
    </row>
    <row r="17" spans="1:18" ht="14.3" x14ac:dyDescent="0.25">
      <c r="A17" t="s">
        <v>118</v>
      </c>
      <c r="B17" s="10" t="s">
        <v>119</v>
      </c>
      <c r="C17" t="s">
        <v>120</v>
      </c>
      <c r="D17">
        <v>2018</v>
      </c>
      <c r="E17" t="s">
        <v>121</v>
      </c>
      <c r="F17" s="28" t="s">
        <v>626</v>
      </c>
      <c r="G17" s="29" t="s">
        <v>669</v>
      </c>
      <c r="H17" s="29" t="s">
        <v>626</v>
      </c>
      <c r="I17" s="29" t="s">
        <v>670</v>
      </c>
      <c r="J17" s="31" t="s">
        <v>627</v>
      </c>
      <c r="K17" s="29" t="s">
        <v>692</v>
      </c>
      <c r="L17" s="29" t="s">
        <v>713</v>
      </c>
      <c r="M17" s="31" t="s">
        <v>624</v>
      </c>
      <c r="N17" s="29" t="s">
        <v>655</v>
      </c>
      <c r="O17" s="29" t="s">
        <v>626</v>
      </c>
      <c r="P17" s="29" t="s">
        <v>625</v>
      </c>
      <c r="Q17" s="29" t="s">
        <v>654</v>
      </c>
      <c r="R17" s="29" t="s">
        <v>655</v>
      </c>
    </row>
    <row r="18" spans="1:18" ht="57.6" customHeight="1" x14ac:dyDescent="0.25">
      <c r="A18" t="s">
        <v>463</v>
      </c>
      <c r="B18" s="10" t="s">
        <v>466</v>
      </c>
      <c r="C18" t="s">
        <v>464</v>
      </c>
      <c r="D18">
        <v>2018</v>
      </c>
      <c r="E18" t="s">
        <v>465</v>
      </c>
      <c r="F18" s="28" t="s">
        <v>625</v>
      </c>
      <c r="G18" s="29" t="s">
        <v>626</v>
      </c>
      <c r="H18" s="29" t="s">
        <v>626</v>
      </c>
      <c r="I18" s="29" t="s">
        <v>626</v>
      </c>
      <c r="J18" s="31" t="s">
        <v>627</v>
      </c>
      <c r="K18" s="29" t="s">
        <v>693</v>
      </c>
      <c r="L18" s="29" t="s">
        <v>714</v>
      </c>
      <c r="M18" s="31" t="s">
        <v>624</v>
      </c>
      <c r="N18" s="29" t="s">
        <v>655</v>
      </c>
      <c r="O18" s="29" t="s">
        <v>654</v>
      </c>
      <c r="P18" s="29" t="s">
        <v>625</v>
      </c>
      <c r="Q18" s="29" t="s">
        <v>654</v>
      </c>
      <c r="R18" s="29" t="s">
        <v>655</v>
      </c>
    </row>
    <row r="19" spans="1:18" ht="28.55" x14ac:dyDescent="0.25">
      <c r="A19" t="s">
        <v>122</v>
      </c>
      <c r="B19" s="10" t="s">
        <v>123</v>
      </c>
      <c r="C19" t="s">
        <v>124</v>
      </c>
      <c r="D19">
        <v>2018</v>
      </c>
      <c r="E19" t="s">
        <v>125</v>
      </c>
      <c r="F19" s="28" t="s">
        <v>654</v>
      </c>
      <c r="G19" s="29" t="s">
        <v>626</v>
      </c>
      <c r="H19" s="29" t="s">
        <v>672</v>
      </c>
      <c r="I19" s="29" t="s">
        <v>671</v>
      </c>
      <c r="J19" s="31" t="s">
        <v>627</v>
      </c>
      <c r="K19" s="29" t="s">
        <v>694</v>
      </c>
      <c r="L19" s="29" t="s">
        <v>715</v>
      </c>
      <c r="M19" s="29" t="s">
        <v>624</v>
      </c>
      <c r="N19" s="29" t="s">
        <v>655</v>
      </c>
      <c r="O19" s="29" t="s">
        <v>655</v>
      </c>
      <c r="P19" s="29" t="s">
        <v>655</v>
      </c>
      <c r="Q19" s="29" t="s">
        <v>625</v>
      </c>
      <c r="R19" s="29" t="s">
        <v>625</v>
      </c>
    </row>
    <row r="20" spans="1:18" ht="14.3" x14ac:dyDescent="0.25">
      <c r="A20" t="s">
        <v>412</v>
      </c>
      <c r="B20" s="10" t="s">
        <v>413</v>
      </c>
      <c r="C20" t="s">
        <v>414</v>
      </c>
      <c r="D20">
        <v>2018</v>
      </c>
      <c r="E20" t="s">
        <v>599</v>
      </c>
      <c r="F20" s="28" t="s">
        <v>626</v>
      </c>
      <c r="G20" s="29" t="s">
        <v>626</v>
      </c>
      <c r="H20" s="29" t="s">
        <v>626</v>
      </c>
      <c r="I20" s="29" t="s">
        <v>626</v>
      </c>
      <c r="J20" s="31" t="s">
        <v>627</v>
      </c>
      <c r="K20" s="29" t="s">
        <v>695</v>
      </c>
      <c r="L20" s="29" t="s">
        <v>712</v>
      </c>
      <c r="M20" s="31" t="s">
        <v>624</v>
      </c>
      <c r="N20" s="29" t="s">
        <v>655</v>
      </c>
      <c r="O20" s="29" t="s">
        <v>626</v>
      </c>
      <c r="P20" s="29" t="s">
        <v>625</v>
      </c>
      <c r="Q20" s="29" t="s">
        <v>654</v>
      </c>
      <c r="R20" s="29" t="s">
        <v>625</v>
      </c>
    </row>
    <row r="21" spans="1:18" ht="28.55" x14ac:dyDescent="0.25">
      <c r="A21" t="s">
        <v>126</v>
      </c>
      <c r="B21" s="10" t="s">
        <v>520</v>
      </c>
      <c r="C21" t="s">
        <v>127</v>
      </c>
      <c r="D21">
        <v>2010</v>
      </c>
      <c r="E21" t="s">
        <v>128</v>
      </c>
      <c r="F21" s="28" t="s">
        <v>625</v>
      </c>
      <c r="G21" s="29" t="s">
        <v>626</v>
      </c>
      <c r="H21" s="29" t="s">
        <v>626</v>
      </c>
      <c r="I21" s="29" t="s">
        <v>626</v>
      </c>
      <c r="J21" s="31" t="s">
        <v>627</v>
      </c>
      <c r="K21" s="29" t="s">
        <v>625</v>
      </c>
      <c r="L21" s="29" t="s">
        <v>626</v>
      </c>
      <c r="M21" s="31" t="s">
        <v>624</v>
      </c>
      <c r="N21" s="29" t="s">
        <v>654</v>
      </c>
      <c r="O21" s="29" t="s">
        <v>625</v>
      </c>
      <c r="P21" s="29" t="s">
        <v>626</v>
      </c>
      <c r="Q21" s="29" t="s">
        <v>654</v>
      </c>
      <c r="R21" s="29" t="s">
        <v>626</v>
      </c>
    </row>
    <row r="22" spans="1:18" ht="28.55" x14ac:dyDescent="0.25">
      <c r="A22" t="s">
        <v>130</v>
      </c>
      <c r="B22" s="10" t="s">
        <v>131</v>
      </c>
      <c r="C22" t="s">
        <v>132</v>
      </c>
      <c r="D22">
        <v>2012</v>
      </c>
      <c r="E22" t="s">
        <v>73</v>
      </c>
      <c r="F22" s="28" t="s">
        <v>625</v>
      </c>
      <c r="G22" s="29" t="s">
        <v>626</v>
      </c>
      <c r="H22" s="29" t="s">
        <v>626</v>
      </c>
      <c r="I22" s="29" t="s">
        <v>634</v>
      </c>
      <c r="J22" s="31" t="s">
        <v>633</v>
      </c>
      <c r="K22" s="29" t="s">
        <v>625</v>
      </c>
      <c r="L22" s="29" t="s">
        <v>626</v>
      </c>
      <c r="M22" s="31" t="s">
        <v>624</v>
      </c>
      <c r="N22" s="29" t="s">
        <v>654</v>
      </c>
      <c r="O22" s="29" t="s">
        <v>626</v>
      </c>
      <c r="P22" s="29" t="s">
        <v>626</v>
      </c>
      <c r="Q22" s="29" t="s">
        <v>654</v>
      </c>
      <c r="R22" s="29" t="s">
        <v>626</v>
      </c>
    </row>
    <row r="23" spans="1:18" ht="28.55" x14ac:dyDescent="0.25">
      <c r="A23" t="s">
        <v>134</v>
      </c>
      <c r="B23" s="10" t="s">
        <v>135</v>
      </c>
      <c r="C23" t="s">
        <v>136</v>
      </c>
      <c r="D23">
        <v>2014</v>
      </c>
      <c r="E23" t="s">
        <v>137</v>
      </c>
      <c r="F23" s="28" t="s">
        <v>626</v>
      </c>
      <c r="G23" s="29" t="s">
        <v>626</v>
      </c>
      <c r="H23" s="29" t="s">
        <v>626</v>
      </c>
      <c r="I23" s="29" t="s">
        <v>634</v>
      </c>
      <c r="J23" s="31" t="s">
        <v>627</v>
      </c>
      <c r="K23" s="29" t="s">
        <v>625</v>
      </c>
      <c r="L23" s="29" t="s">
        <v>626</v>
      </c>
      <c r="M23" s="31" t="s">
        <v>624</v>
      </c>
      <c r="N23" s="29" t="s">
        <v>654</v>
      </c>
      <c r="O23" s="29" t="s">
        <v>625</v>
      </c>
      <c r="P23" s="29" t="s">
        <v>626</v>
      </c>
      <c r="Q23" s="29" t="s">
        <v>654</v>
      </c>
      <c r="R23" s="29" t="s">
        <v>626</v>
      </c>
    </row>
    <row r="24" spans="1:18" ht="28.55" x14ac:dyDescent="0.25">
      <c r="A24" t="s">
        <v>138</v>
      </c>
      <c r="B24" s="10" t="s">
        <v>606</v>
      </c>
      <c r="C24" t="s">
        <v>139</v>
      </c>
      <c r="D24">
        <v>2017</v>
      </c>
      <c r="E24" t="s">
        <v>140</v>
      </c>
      <c r="F24" s="28" t="s">
        <v>626</v>
      </c>
      <c r="G24" s="29" t="s">
        <v>626</v>
      </c>
      <c r="H24" s="29" t="s">
        <v>626</v>
      </c>
      <c r="I24" s="29" t="s">
        <v>626</v>
      </c>
      <c r="J24" s="31" t="s">
        <v>633</v>
      </c>
      <c r="K24" s="29" t="s">
        <v>625</v>
      </c>
      <c r="L24" s="29" t="s">
        <v>626</v>
      </c>
      <c r="M24" s="31" t="s">
        <v>624</v>
      </c>
      <c r="N24" s="29" t="s">
        <v>654</v>
      </c>
      <c r="O24" s="29" t="s">
        <v>654</v>
      </c>
      <c r="P24" s="29" t="s">
        <v>625</v>
      </c>
      <c r="Q24" s="29" t="s">
        <v>654</v>
      </c>
      <c r="R24" s="29" t="s">
        <v>626</v>
      </c>
    </row>
    <row r="25" spans="1:18" ht="28.55" x14ac:dyDescent="0.25">
      <c r="A25" t="s">
        <v>142</v>
      </c>
      <c r="B25" s="10" t="s">
        <v>543</v>
      </c>
      <c r="C25" t="s">
        <v>143</v>
      </c>
      <c r="D25">
        <v>2017</v>
      </c>
      <c r="E25" t="s">
        <v>144</v>
      </c>
      <c r="F25" s="28" t="s">
        <v>626</v>
      </c>
      <c r="G25" s="29" t="s">
        <v>626</v>
      </c>
      <c r="H25" s="29" t="s">
        <v>626</v>
      </c>
      <c r="I25" s="29" t="s">
        <v>626</v>
      </c>
      <c r="J25" s="31" t="s">
        <v>635</v>
      </c>
      <c r="K25" s="29" t="s">
        <v>625</v>
      </c>
      <c r="L25" s="29" t="s">
        <v>626</v>
      </c>
      <c r="M25" s="31" t="s">
        <v>624</v>
      </c>
      <c r="N25" s="29" t="s">
        <v>655</v>
      </c>
      <c r="O25" s="29" t="s">
        <v>654</v>
      </c>
      <c r="P25" s="29" t="s">
        <v>654</v>
      </c>
      <c r="Q25" s="29" t="s">
        <v>654</v>
      </c>
      <c r="R25" s="29" t="s">
        <v>626</v>
      </c>
    </row>
    <row r="26" spans="1:18" ht="28.55" x14ac:dyDescent="0.25">
      <c r="A26" t="s">
        <v>145</v>
      </c>
      <c r="B26" s="10" t="s">
        <v>146</v>
      </c>
      <c r="C26" t="s">
        <v>147</v>
      </c>
      <c r="D26">
        <v>2017</v>
      </c>
      <c r="E26" t="s">
        <v>128</v>
      </c>
      <c r="F26" s="28" t="s">
        <v>626</v>
      </c>
      <c r="G26" s="29" t="s">
        <v>626</v>
      </c>
      <c r="H26" s="29" t="s">
        <v>626</v>
      </c>
      <c r="I26" s="29" t="s">
        <v>636</v>
      </c>
      <c r="J26" s="31" t="s">
        <v>636</v>
      </c>
      <c r="K26" s="29" t="s">
        <v>625</v>
      </c>
      <c r="L26" s="29" t="s">
        <v>626</v>
      </c>
      <c r="M26" s="31" t="s">
        <v>624</v>
      </c>
      <c r="N26" s="29" t="s">
        <v>625</v>
      </c>
      <c r="O26" s="29" t="s">
        <v>626</v>
      </c>
      <c r="P26" s="29" t="s">
        <v>626</v>
      </c>
      <c r="Q26" s="29" t="s">
        <v>654</v>
      </c>
      <c r="R26" s="29" t="s">
        <v>626</v>
      </c>
    </row>
    <row r="27" spans="1:18" ht="100.9" customHeight="1" x14ac:dyDescent="0.25">
      <c r="A27" t="s">
        <v>148</v>
      </c>
      <c r="B27" s="10" t="s">
        <v>149</v>
      </c>
      <c r="C27" t="s">
        <v>150</v>
      </c>
      <c r="D27">
        <v>2019</v>
      </c>
      <c r="E27" t="s">
        <v>73</v>
      </c>
      <c r="F27" s="28" t="s">
        <v>625</v>
      </c>
      <c r="G27" s="29" t="s">
        <v>626</v>
      </c>
      <c r="H27" s="29" t="s">
        <v>626</v>
      </c>
      <c r="I27" s="29" t="s">
        <v>636</v>
      </c>
      <c r="J27" s="31" t="s">
        <v>627</v>
      </c>
      <c r="K27" s="29" t="s">
        <v>625</v>
      </c>
      <c r="L27" s="29" t="s">
        <v>626</v>
      </c>
      <c r="M27" s="31" t="s">
        <v>624</v>
      </c>
      <c r="N27" s="29" t="s">
        <v>625</v>
      </c>
      <c r="O27" s="29" t="s">
        <v>655</v>
      </c>
      <c r="P27" s="29" t="s">
        <v>655</v>
      </c>
      <c r="Q27" s="29" t="s">
        <v>654</v>
      </c>
      <c r="R27" s="29" t="s">
        <v>626</v>
      </c>
    </row>
    <row r="28" spans="1:18" ht="86.45" customHeight="1" x14ac:dyDescent="0.25">
      <c r="A28" t="s">
        <v>494</v>
      </c>
      <c r="B28" s="10" t="s">
        <v>495</v>
      </c>
      <c r="C28" t="s">
        <v>496</v>
      </c>
      <c r="D28">
        <v>2015</v>
      </c>
      <c r="E28" t="s">
        <v>570</v>
      </c>
      <c r="F28" s="28" t="s">
        <v>681</v>
      </c>
      <c r="G28" s="29" t="s">
        <v>625</v>
      </c>
      <c r="H28" s="29" t="s">
        <v>625</v>
      </c>
      <c r="I28" s="29" t="s">
        <v>637</v>
      </c>
      <c r="J28" s="31" t="s">
        <v>627</v>
      </c>
      <c r="K28" s="29" t="s">
        <v>654</v>
      </c>
      <c r="L28" s="29" t="s">
        <v>712</v>
      </c>
      <c r="M28" s="31" t="s">
        <v>624</v>
      </c>
      <c r="N28" s="29" t="s">
        <v>654</v>
      </c>
      <c r="O28" s="29" t="s">
        <v>736</v>
      </c>
      <c r="P28" s="29" t="s">
        <v>654</v>
      </c>
      <c r="Q28" s="29" t="s">
        <v>654</v>
      </c>
      <c r="R28" s="29" t="s">
        <v>625</v>
      </c>
    </row>
    <row r="29" spans="1:18" ht="73.2" customHeight="1" x14ac:dyDescent="0.25">
      <c r="A29" s="18" t="s">
        <v>154</v>
      </c>
      <c r="B29" s="18" t="s">
        <v>155</v>
      </c>
      <c r="C29" s="18" t="s">
        <v>571</v>
      </c>
      <c r="D29">
        <v>2017</v>
      </c>
      <c r="E29" s="18" t="s">
        <v>482</v>
      </c>
      <c r="F29" s="28" t="s">
        <v>640</v>
      </c>
      <c r="G29" s="29" t="s">
        <v>656</v>
      </c>
      <c r="H29" s="29" t="s">
        <v>625</v>
      </c>
      <c r="I29" s="29" t="s">
        <v>626</v>
      </c>
      <c r="J29" s="31" t="s">
        <v>627</v>
      </c>
      <c r="K29" s="29" t="s">
        <v>626</v>
      </c>
      <c r="L29" s="29" t="s">
        <v>710</v>
      </c>
      <c r="M29" s="31" t="s">
        <v>624</v>
      </c>
      <c r="N29" s="29" t="s">
        <v>654</v>
      </c>
      <c r="O29" s="29" t="s">
        <v>625</v>
      </c>
      <c r="P29" s="29" t="s">
        <v>625</v>
      </c>
      <c r="Q29" s="29" t="s">
        <v>654</v>
      </c>
      <c r="R29" s="29" t="s">
        <v>626</v>
      </c>
    </row>
    <row r="30" spans="1:18" ht="115.15" customHeight="1" x14ac:dyDescent="0.25">
      <c r="A30" t="s">
        <v>189</v>
      </c>
      <c r="B30" s="10" t="s">
        <v>190</v>
      </c>
      <c r="C30" t="s">
        <v>191</v>
      </c>
      <c r="D30">
        <v>2019</v>
      </c>
      <c r="E30" t="s">
        <v>192</v>
      </c>
      <c r="F30" s="28" t="s">
        <v>654</v>
      </c>
      <c r="G30" s="29" t="s">
        <v>625</v>
      </c>
      <c r="H30" s="29" t="s">
        <v>626</v>
      </c>
      <c r="I30" s="29" t="s">
        <v>626</v>
      </c>
      <c r="J30" s="31" t="s">
        <v>627</v>
      </c>
      <c r="K30" s="29" t="s">
        <v>626</v>
      </c>
      <c r="L30" s="29" t="s">
        <v>710</v>
      </c>
      <c r="M30" s="31" t="s">
        <v>624</v>
      </c>
      <c r="N30" s="29" t="s">
        <v>655</v>
      </c>
      <c r="O30" s="29" t="s">
        <v>655</v>
      </c>
      <c r="P30" s="29" t="s">
        <v>655</v>
      </c>
      <c r="Q30" s="29" t="s">
        <v>654</v>
      </c>
      <c r="R30" s="29" t="s">
        <v>626</v>
      </c>
    </row>
    <row r="31" spans="1:18" ht="28.55" x14ac:dyDescent="0.25">
      <c r="A31" t="s">
        <v>572</v>
      </c>
      <c r="B31" s="10" t="s">
        <v>621</v>
      </c>
      <c r="C31" t="s">
        <v>573</v>
      </c>
      <c r="D31">
        <v>2010</v>
      </c>
      <c r="E31" t="s">
        <v>101</v>
      </c>
      <c r="F31" s="28" t="s">
        <v>625</v>
      </c>
      <c r="G31" s="29" t="s">
        <v>626</v>
      </c>
      <c r="H31" s="29" t="s">
        <v>625</v>
      </c>
      <c r="I31" s="29" t="s">
        <v>626</v>
      </c>
      <c r="J31" s="31" t="s">
        <v>627</v>
      </c>
      <c r="K31" s="29" t="s">
        <v>694</v>
      </c>
      <c r="L31" s="29" t="s">
        <v>701</v>
      </c>
      <c r="M31" s="31" t="s">
        <v>624</v>
      </c>
      <c r="N31" s="29" t="s">
        <v>654</v>
      </c>
      <c r="O31" s="29" t="s">
        <v>655</v>
      </c>
      <c r="P31" s="29" t="s">
        <v>655</v>
      </c>
      <c r="Q31" s="29" t="s">
        <v>654</v>
      </c>
      <c r="R31" s="29" t="s">
        <v>626</v>
      </c>
    </row>
    <row r="32" spans="1:18" ht="14.3" x14ac:dyDescent="0.25">
      <c r="A32" t="s">
        <v>574</v>
      </c>
      <c r="B32" s="10" t="s">
        <v>575</v>
      </c>
      <c r="C32" t="s">
        <v>576</v>
      </c>
      <c r="D32">
        <v>2022</v>
      </c>
      <c r="E32" t="s">
        <v>577</v>
      </c>
      <c r="F32" s="28" t="s">
        <v>626</v>
      </c>
      <c r="G32" s="29" t="s">
        <v>625</v>
      </c>
      <c r="H32" s="29" t="s">
        <v>625</v>
      </c>
      <c r="I32" s="29" t="s">
        <v>673</v>
      </c>
      <c r="J32" s="31" t="s">
        <v>627</v>
      </c>
      <c r="K32" s="29" t="s">
        <v>626</v>
      </c>
      <c r="L32" s="29" t="s">
        <v>716</v>
      </c>
      <c r="M32" s="31" t="s">
        <v>624</v>
      </c>
      <c r="N32" s="29" t="s">
        <v>655</v>
      </c>
      <c r="O32" s="29" t="s">
        <v>737</v>
      </c>
      <c r="P32" s="29" t="s">
        <v>625</v>
      </c>
      <c r="Q32" s="29" t="s">
        <v>654</v>
      </c>
      <c r="R32" s="29" t="s">
        <v>625</v>
      </c>
    </row>
    <row r="33" spans="1:18" ht="28.55" x14ac:dyDescent="0.25">
      <c r="A33" t="s">
        <v>264</v>
      </c>
      <c r="B33" s="10" t="s">
        <v>265</v>
      </c>
      <c r="C33" t="s">
        <v>266</v>
      </c>
      <c r="D33">
        <v>2012</v>
      </c>
      <c r="E33" t="s">
        <v>600</v>
      </c>
      <c r="F33" s="28" t="s">
        <v>654</v>
      </c>
      <c r="G33" s="29" t="s">
        <v>625</v>
      </c>
      <c r="H33" s="29" t="s">
        <v>674</v>
      </c>
      <c r="I33" s="29" t="s">
        <v>675</v>
      </c>
      <c r="J33" s="31" t="s">
        <v>638</v>
      </c>
      <c r="K33" s="29" t="s">
        <v>625</v>
      </c>
      <c r="L33" s="29" t="s">
        <v>700</v>
      </c>
      <c r="M33" s="31" t="s">
        <v>624</v>
      </c>
      <c r="N33" s="29" t="s">
        <v>655</v>
      </c>
      <c r="O33" s="29" t="s">
        <v>655</v>
      </c>
      <c r="P33" s="29" t="s">
        <v>655</v>
      </c>
      <c r="Q33" s="29" t="s">
        <v>654</v>
      </c>
      <c r="R33" s="29" t="s">
        <v>626</v>
      </c>
    </row>
    <row r="34" spans="1:18" ht="28.55" x14ac:dyDescent="0.25">
      <c r="A34" t="s">
        <v>532</v>
      </c>
      <c r="B34" s="10" t="s">
        <v>531</v>
      </c>
      <c r="C34" t="s">
        <v>533</v>
      </c>
      <c r="D34">
        <v>2017</v>
      </c>
      <c r="E34" t="s">
        <v>534</v>
      </c>
      <c r="F34" s="28" t="s">
        <v>626</v>
      </c>
      <c r="G34" s="29" t="s">
        <v>626</v>
      </c>
      <c r="H34" s="29" t="s">
        <v>676</v>
      </c>
      <c r="I34" s="29" t="s">
        <v>626</v>
      </c>
      <c r="J34" s="31" t="s">
        <v>627</v>
      </c>
      <c r="K34" s="29" t="s">
        <v>626</v>
      </c>
      <c r="L34" s="29" t="s">
        <v>712</v>
      </c>
      <c r="M34" s="31" t="s">
        <v>624</v>
      </c>
      <c r="N34" s="29" t="s">
        <v>654</v>
      </c>
      <c r="O34" s="29" t="s">
        <v>625</v>
      </c>
      <c r="P34" s="29" t="s">
        <v>625</v>
      </c>
      <c r="Q34" s="29" t="s">
        <v>654</v>
      </c>
      <c r="R34" s="29" t="s">
        <v>655</v>
      </c>
    </row>
    <row r="35" spans="1:18" ht="28.55" x14ac:dyDescent="0.25">
      <c r="A35" t="s">
        <v>279</v>
      </c>
      <c r="B35" s="10" t="s">
        <v>280</v>
      </c>
      <c r="C35" t="s">
        <v>281</v>
      </c>
      <c r="D35">
        <v>2011</v>
      </c>
      <c r="E35" t="s">
        <v>282</v>
      </c>
      <c r="F35" s="28" t="s">
        <v>654</v>
      </c>
      <c r="G35" s="29" t="s">
        <v>626</v>
      </c>
      <c r="H35" s="29" t="s">
        <v>625</v>
      </c>
      <c r="I35" s="29" t="s">
        <v>626</v>
      </c>
      <c r="J35" s="31" t="s">
        <v>627</v>
      </c>
      <c r="K35" s="29" t="s">
        <v>694</v>
      </c>
      <c r="L35" s="29" t="s">
        <v>701</v>
      </c>
      <c r="M35" s="31" t="s">
        <v>624</v>
      </c>
      <c r="N35" s="29" t="s">
        <v>655</v>
      </c>
      <c r="O35" s="29" t="s">
        <v>655</v>
      </c>
      <c r="P35" s="29" t="s">
        <v>625</v>
      </c>
      <c r="Q35" s="29" t="s">
        <v>654</v>
      </c>
      <c r="R35" s="29" t="s">
        <v>626</v>
      </c>
    </row>
    <row r="36" spans="1:18" ht="28.55" x14ac:dyDescent="0.25">
      <c r="A36" t="s">
        <v>283</v>
      </c>
      <c r="B36" s="10" t="s">
        <v>287</v>
      </c>
      <c r="C36" t="s">
        <v>288</v>
      </c>
      <c r="D36">
        <v>2011</v>
      </c>
      <c r="E36" t="s">
        <v>101</v>
      </c>
      <c r="F36" s="28" t="s">
        <v>682</v>
      </c>
      <c r="G36" s="29" t="s">
        <v>625</v>
      </c>
      <c r="H36" s="29" t="s">
        <v>654</v>
      </c>
      <c r="I36" s="29" t="s">
        <v>625</v>
      </c>
      <c r="J36" s="31" t="s">
        <v>627</v>
      </c>
      <c r="K36" s="29" t="s">
        <v>694</v>
      </c>
      <c r="L36" s="29" t="s">
        <v>701</v>
      </c>
      <c r="M36" s="31" t="s">
        <v>624</v>
      </c>
      <c r="N36" s="29" t="s">
        <v>655</v>
      </c>
      <c r="O36" s="29" t="s">
        <v>655</v>
      </c>
      <c r="P36" s="29" t="s">
        <v>626</v>
      </c>
      <c r="Q36" s="29" t="s">
        <v>654</v>
      </c>
      <c r="R36" s="29" t="s">
        <v>626</v>
      </c>
    </row>
    <row r="37" spans="1:18" ht="28.55" x14ac:dyDescent="0.25">
      <c r="A37" t="s">
        <v>286</v>
      </c>
      <c r="B37" s="10" t="s">
        <v>284</v>
      </c>
      <c r="C37" t="s">
        <v>285</v>
      </c>
      <c r="D37">
        <v>2011</v>
      </c>
      <c r="E37" t="s">
        <v>73</v>
      </c>
      <c r="F37" s="28" t="s">
        <v>640</v>
      </c>
      <c r="G37" s="29" t="s">
        <v>626</v>
      </c>
      <c r="H37" s="29" t="s">
        <v>625</v>
      </c>
      <c r="I37" s="29" t="s">
        <v>626</v>
      </c>
      <c r="J37" s="31" t="s">
        <v>627</v>
      </c>
      <c r="K37" s="29" t="s">
        <v>694</v>
      </c>
      <c r="L37" s="29" t="s">
        <v>700</v>
      </c>
      <c r="M37" s="31" t="s">
        <v>624</v>
      </c>
      <c r="N37" s="29" t="s">
        <v>654</v>
      </c>
      <c r="O37" s="29" t="s">
        <v>655</v>
      </c>
      <c r="P37" s="29" t="s">
        <v>625</v>
      </c>
      <c r="Q37" s="29" t="s">
        <v>654</v>
      </c>
      <c r="R37" s="29" t="s">
        <v>625</v>
      </c>
    </row>
    <row r="38" spans="1:18" ht="28.55" x14ac:dyDescent="0.25">
      <c r="A38" t="s">
        <v>289</v>
      </c>
      <c r="B38" s="10" t="s">
        <v>290</v>
      </c>
      <c r="C38" t="s">
        <v>291</v>
      </c>
      <c r="D38">
        <v>2012</v>
      </c>
      <c r="E38" t="s">
        <v>292</v>
      </c>
      <c r="F38" s="28" t="s">
        <v>640</v>
      </c>
      <c r="G38" s="29" t="s">
        <v>625</v>
      </c>
      <c r="H38" s="29" t="s">
        <v>654</v>
      </c>
      <c r="I38" s="29" t="s">
        <v>625</v>
      </c>
      <c r="J38" s="31" t="s">
        <v>627</v>
      </c>
      <c r="K38" s="29" t="s">
        <v>694</v>
      </c>
      <c r="L38" s="29" t="s">
        <v>701</v>
      </c>
      <c r="M38" s="31" t="s">
        <v>624</v>
      </c>
      <c r="N38" s="29" t="s">
        <v>655</v>
      </c>
      <c r="O38" s="29" t="s">
        <v>625</v>
      </c>
      <c r="P38" s="29" t="s">
        <v>625</v>
      </c>
      <c r="Q38" s="29" t="s">
        <v>654</v>
      </c>
      <c r="R38" s="29" t="s">
        <v>655</v>
      </c>
    </row>
    <row r="39" spans="1:18" ht="28.55" x14ac:dyDescent="0.25">
      <c r="A39" t="s">
        <v>293</v>
      </c>
      <c r="B39" s="10" t="s">
        <v>294</v>
      </c>
      <c r="C39" t="s">
        <v>295</v>
      </c>
      <c r="D39">
        <v>2013</v>
      </c>
      <c r="E39" t="s">
        <v>296</v>
      </c>
      <c r="F39" s="28" t="s">
        <v>625</v>
      </c>
      <c r="G39" s="29" t="s">
        <v>640</v>
      </c>
      <c r="H39" s="29" t="s">
        <v>625</v>
      </c>
      <c r="I39" s="29" t="s">
        <v>626</v>
      </c>
      <c r="J39" s="31" t="s">
        <v>627</v>
      </c>
      <c r="K39" s="29" t="s">
        <v>694</v>
      </c>
      <c r="L39" s="29" t="s">
        <v>700</v>
      </c>
      <c r="M39" s="31" t="s">
        <v>624</v>
      </c>
      <c r="N39" s="29" t="s">
        <v>655</v>
      </c>
      <c r="O39" s="29" t="s">
        <v>625</v>
      </c>
      <c r="P39" s="29" t="s">
        <v>625</v>
      </c>
      <c r="Q39" s="29" t="s">
        <v>654</v>
      </c>
      <c r="R39" s="29" t="s">
        <v>626</v>
      </c>
    </row>
    <row r="40" spans="1:18" ht="28.55" x14ac:dyDescent="0.25">
      <c r="A40" t="s">
        <v>298</v>
      </c>
      <c r="B40" s="10" t="s">
        <v>299</v>
      </c>
      <c r="C40" t="s">
        <v>616</v>
      </c>
      <c r="D40">
        <v>2013</v>
      </c>
      <c r="E40" t="s">
        <v>602</v>
      </c>
      <c r="F40" s="28" t="s">
        <v>625</v>
      </c>
      <c r="G40" s="29" t="s">
        <v>625</v>
      </c>
      <c r="H40" s="29" t="s">
        <v>654</v>
      </c>
      <c r="I40" s="29" t="s">
        <v>625</v>
      </c>
      <c r="J40" s="31" t="s">
        <v>627</v>
      </c>
      <c r="K40" s="29" t="s">
        <v>694</v>
      </c>
      <c r="L40" s="29" t="s">
        <v>701</v>
      </c>
      <c r="M40" s="31" t="s">
        <v>624</v>
      </c>
      <c r="N40" s="29" t="s">
        <v>655</v>
      </c>
      <c r="O40" s="29" t="s">
        <v>625</v>
      </c>
      <c r="P40" s="29" t="s">
        <v>625</v>
      </c>
      <c r="Q40" s="29" t="s">
        <v>654</v>
      </c>
      <c r="R40" s="29" t="s">
        <v>626</v>
      </c>
    </row>
    <row r="41" spans="1:18" ht="14.3" x14ac:dyDescent="0.25">
      <c r="A41" t="s">
        <v>300</v>
      </c>
      <c r="B41" s="10" t="s">
        <v>301</v>
      </c>
      <c r="C41" t="s">
        <v>302</v>
      </c>
      <c r="D41">
        <v>2013</v>
      </c>
      <c r="E41" t="s">
        <v>125</v>
      </c>
      <c r="F41" s="28" t="s">
        <v>625</v>
      </c>
      <c r="G41" s="29" t="s">
        <v>640</v>
      </c>
      <c r="H41" s="29" t="s">
        <v>625</v>
      </c>
      <c r="I41" s="29" t="s">
        <v>626</v>
      </c>
      <c r="J41" s="31" t="s">
        <v>627</v>
      </c>
      <c r="K41" s="29" t="s">
        <v>694</v>
      </c>
      <c r="L41" s="29" t="s">
        <v>700</v>
      </c>
      <c r="M41" s="31" t="s">
        <v>624</v>
      </c>
      <c r="N41" s="29" t="s">
        <v>655</v>
      </c>
      <c r="O41" s="29" t="s">
        <v>625</v>
      </c>
      <c r="P41" s="29" t="s">
        <v>625</v>
      </c>
      <c r="Q41" s="29" t="s">
        <v>654</v>
      </c>
      <c r="R41" s="29" t="s">
        <v>626</v>
      </c>
    </row>
    <row r="42" spans="1:18" ht="28.55" x14ac:dyDescent="0.25">
      <c r="A42" t="s">
        <v>588</v>
      </c>
      <c r="B42" s="10" t="s">
        <v>303</v>
      </c>
      <c r="C42" t="s">
        <v>304</v>
      </c>
      <c r="D42">
        <v>2013</v>
      </c>
      <c r="E42" t="s">
        <v>101</v>
      </c>
      <c r="F42" s="28" t="s">
        <v>625</v>
      </c>
      <c r="G42" s="29" t="s">
        <v>625</v>
      </c>
      <c r="H42" s="29" t="s">
        <v>654</v>
      </c>
      <c r="I42" s="29" t="s">
        <v>625</v>
      </c>
      <c r="J42" s="31" t="s">
        <v>627</v>
      </c>
      <c r="K42" s="29" t="s">
        <v>694</v>
      </c>
      <c r="L42" s="29" t="s">
        <v>700</v>
      </c>
      <c r="M42" s="31" t="s">
        <v>624</v>
      </c>
      <c r="N42" s="29" t="s">
        <v>655</v>
      </c>
      <c r="O42" s="29" t="s">
        <v>625</v>
      </c>
      <c r="P42" s="29" t="s">
        <v>625</v>
      </c>
      <c r="Q42" s="29" t="s">
        <v>654</v>
      </c>
      <c r="R42" s="29" t="s">
        <v>626</v>
      </c>
    </row>
    <row r="43" spans="1:18" ht="42.8" x14ac:dyDescent="0.25">
      <c r="A43" t="s">
        <v>305</v>
      </c>
      <c r="B43" s="10" t="s">
        <v>306</v>
      </c>
      <c r="C43" t="s">
        <v>307</v>
      </c>
      <c r="D43">
        <v>2016</v>
      </c>
      <c r="E43" t="s">
        <v>308</v>
      </c>
      <c r="F43" s="28" t="s">
        <v>640</v>
      </c>
      <c r="G43" s="29" t="s">
        <v>625</v>
      </c>
      <c r="H43" s="29" t="s">
        <v>625</v>
      </c>
      <c r="I43" s="29" t="s">
        <v>625</v>
      </c>
      <c r="J43" s="31" t="s">
        <v>627</v>
      </c>
      <c r="K43" s="29" t="s">
        <v>694</v>
      </c>
      <c r="L43" s="29" t="s">
        <v>701</v>
      </c>
      <c r="M43" s="31" t="s">
        <v>624</v>
      </c>
      <c r="N43" s="29" t="s">
        <v>655</v>
      </c>
      <c r="O43" s="29" t="s">
        <v>625</v>
      </c>
      <c r="P43" s="29" t="s">
        <v>625</v>
      </c>
      <c r="Q43" s="29" t="s">
        <v>654</v>
      </c>
      <c r="R43" s="29" t="s">
        <v>626</v>
      </c>
    </row>
    <row r="44" spans="1:18" ht="14.3" x14ac:dyDescent="0.25">
      <c r="A44" t="s">
        <v>309</v>
      </c>
      <c r="B44" s="10" t="s">
        <v>310</v>
      </c>
      <c r="C44" t="s">
        <v>311</v>
      </c>
      <c r="D44">
        <v>2012</v>
      </c>
      <c r="E44" t="s">
        <v>312</v>
      </c>
      <c r="F44" s="28" t="s">
        <v>625</v>
      </c>
      <c r="G44" s="29" t="s">
        <v>625</v>
      </c>
      <c r="H44" s="29" t="s">
        <v>625</v>
      </c>
      <c r="I44" s="29" t="s">
        <v>625</v>
      </c>
      <c r="J44" s="31" t="s">
        <v>627</v>
      </c>
      <c r="K44" s="29" t="s">
        <v>626</v>
      </c>
      <c r="L44" s="29" t="s">
        <v>712</v>
      </c>
      <c r="M44" s="31" t="s">
        <v>624</v>
      </c>
      <c r="N44" s="29" t="s">
        <v>654</v>
      </c>
      <c r="O44" s="29" t="s">
        <v>654</v>
      </c>
      <c r="P44" s="29" t="s">
        <v>625</v>
      </c>
      <c r="Q44" s="29" t="s">
        <v>626</v>
      </c>
      <c r="R44" s="29" t="s">
        <v>626</v>
      </c>
    </row>
    <row r="45" spans="1:18" ht="28.55" x14ac:dyDescent="0.25">
      <c r="A45" t="s">
        <v>313</v>
      </c>
      <c r="B45" s="10" t="s">
        <v>314</v>
      </c>
      <c r="C45" t="s">
        <v>315</v>
      </c>
      <c r="D45">
        <v>2014</v>
      </c>
      <c r="E45" t="s">
        <v>296</v>
      </c>
      <c r="F45" s="28" t="s">
        <v>626</v>
      </c>
      <c r="G45" s="29" t="s">
        <v>656</v>
      </c>
      <c r="H45" s="29" t="s">
        <v>656</v>
      </c>
      <c r="I45" s="29" t="s">
        <v>656</v>
      </c>
      <c r="J45" s="31" t="s">
        <v>627</v>
      </c>
      <c r="K45" s="29" t="s">
        <v>626</v>
      </c>
      <c r="L45" s="29" t="s">
        <v>712</v>
      </c>
      <c r="M45" s="31" t="s">
        <v>624</v>
      </c>
      <c r="N45" s="29" t="s">
        <v>654</v>
      </c>
      <c r="O45" s="29" t="s">
        <v>626</v>
      </c>
      <c r="P45" s="29" t="s">
        <v>625</v>
      </c>
      <c r="Q45" s="29" t="s">
        <v>626</v>
      </c>
      <c r="R45" s="29" t="s">
        <v>626</v>
      </c>
    </row>
    <row r="46" spans="1:18" ht="149.94999999999999" customHeight="1" x14ac:dyDescent="0.25">
      <c r="A46" t="s">
        <v>316</v>
      </c>
      <c r="B46" s="10" t="s">
        <v>317</v>
      </c>
      <c r="C46" t="s">
        <v>318</v>
      </c>
      <c r="D46">
        <v>2019</v>
      </c>
      <c r="E46" t="s">
        <v>319</v>
      </c>
      <c r="F46" s="28" t="s">
        <v>654</v>
      </c>
      <c r="G46" s="29" t="s">
        <v>677</v>
      </c>
      <c r="H46" s="29" t="s">
        <v>625</v>
      </c>
      <c r="I46" s="29" t="s">
        <v>626</v>
      </c>
      <c r="J46" s="31" t="s">
        <v>627</v>
      </c>
      <c r="K46" s="29" t="s">
        <v>654</v>
      </c>
      <c r="L46" s="29" t="s">
        <v>707</v>
      </c>
      <c r="M46" s="31" t="s">
        <v>624</v>
      </c>
      <c r="N46" s="29" t="s">
        <v>655</v>
      </c>
      <c r="O46" s="29" t="s">
        <v>654</v>
      </c>
      <c r="P46" s="29" t="s">
        <v>625</v>
      </c>
      <c r="Q46" s="29" t="s">
        <v>654</v>
      </c>
      <c r="R46" s="29" t="s">
        <v>654</v>
      </c>
    </row>
    <row r="47" spans="1:18" ht="28.55" x14ac:dyDescent="0.25">
      <c r="A47" t="s">
        <v>320</v>
      </c>
      <c r="B47" s="10" t="s">
        <v>321</v>
      </c>
      <c r="C47" t="s">
        <v>322</v>
      </c>
      <c r="D47">
        <v>2011</v>
      </c>
      <c r="E47" t="s">
        <v>323</v>
      </c>
      <c r="F47" s="28" t="s">
        <v>626</v>
      </c>
      <c r="G47" s="29" t="s">
        <v>625</v>
      </c>
      <c r="H47" s="29" t="s">
        <v>626</v>
      </c>
      <c r="I47" s="29" t="s">
        <v>626</v>
      </c>
      <c r="J47" s="31" t="s">
        <v>627</v>
      </c>
      <c r="K47" s="29" t="s">
        <v>625</v>
      </c>
      <c r="L47" s="29" t="s">
        <v>712</v>
      </c>
      <c r="M47" s="31" t="s">
        <v>624</v>
      </c>
      <c r="N47" s="29" t="s">
        <v>655</v>
      </c>
      <c r="O47" s="29" t="s">
        <v>626</v>
      </c>
      <c r="P47" s="29" t="s">
        <v>639</v>
      </c>
      <c r="Q47" s="29" t="s">
        <v>626</v>
      </c>
      <c r="R47" s="29" t="s">
        <v>654</v>
      </c>
    </row>
    <row r="48" spans="1:18" ht="28.55" x14ac:dyDescent="0.25">
      <c r="A48" t="s">
        <v>324</v>
      </c>
      <c r="B48" s="10" t="s">
        <v>325</v>
      </c>
      <c r="C48" t="s">
        <v>326</v>
      </c>
      <c r="D48">
        <v>2012</v>
      </c>
      <c r="E48" t="s">
        <v>327</v>
      </c>
      <c r="F48" s="28" t="s">
        <v>626</v>
      </c>
      <c r="G48" s="29" t="s">
        <v>625</v>
      </c>
      <c r="H48" s="29" t="s">
        <v>625</v>
      </c>
      <c r="I48" s="29" t="s">
        <v>625</v>
      </c>
      <c r="J48" s="31" t="s">
        <v>627</v>
      </c>
      <c r="K48" s="29" t="s">
        <v>625</v>
      </c>
      <c r="L48" s="29" t="s">
        <v>712</v>
      </c>
      <c r="M48" s="31" t="s">
        <v>624</v>
      </c>
      <c r="N48" s="29" t="s">
        <v>655</v>
      </c>
      <c r="O48" s="29" t="s">
        <v>654</v>
      </c>
      <c r="P48" s="29" t="s">
        <v>639</v>
      </c>
      <c r="Q48" s="29" t="s">
        <v>626</v>
      </c>
      <c r="R48" s="29" t="s">
        <v>626</v>
      </c>
    </row>
    <row r="49" spans="1:18" ht="28.55" x14ac:dyDescent="0.25">
      <c r="A49" t="s">
        <v>329</v>
      </c>
      <c r="B49" s="10" t="s">
        <v>330</v>
      </c>
      <c r="C49" t="s">
        <v>322</v>
      </c>
      <c r="D49">
        <v>2013</v>
      </c>
      <c r="E49" t="s">
        <v>323</v>
      </c>
      <c r="F49" s="28" t="s">
        <v>626</v>
      </c>
      <c r="G49" s="29" t="s">
        <v>625</v>
      </c>
      <c r="H49" s="29" t="s">
        <v>625</v>
      </c>
      <c r="I49" s="29" t="s">
        <v>625</v>
      </c>
      <c r="J49" s="31" t="s">
        <v>627</v>
      </c>
      <c r="K49" s="29" t="s">
        <v>625</v>
      </c>
      <c r="L49" s="29" t="s">
        <v>712</v>
      </c>
      <c r="M49" s="31" t="s">
        <v>624</v>
      </c>
      <c r="N49" s="29" t="s">
        <v>655</v>
      </c>
      <c r="O49" s="29" t="s">
        <v>625</v>
      </c>
      <c r="P49" s="29" t="s">
        <v>639</v>
      </c>
      <c r="Q49" s="29" t="s">
        <v>626</v>
      </c>
      <c r="R49" s="29" t="s">
        <v>626</v>
      </c>
    </row>
    <row r="50" spans="1:18" ht="14.3" x14ac:dyDescent="0.25">
      <c r="A50" t="s">
        <v>331</v>
      </c>
      <c r="B50" s="10" t="s">
        <v>332</v>
      </c>
      <c r="C50" t="s">
        <v>333</v>
      </c>
      <c r="D50">
        <v>2015</v>
      </c>
      <c r="E50" t="s">
        <v>334</v>
      </c>
      <c r="F50" s="28" t="s">
        <v>626</v>
      </c>
      <c r="G50" s="29" t="s">
        <v>626</v>
      </c>
      <c r="H50" s="29" t="s">
        <v>626</v>
      </c>
      <c r="I50" s="29" t="s">
        <v>626</v>
      </c>
      <c r="J50" s="31" t="s">
        <v>627</v>
      </c>
      <c r="K50" s="29" t="s">
        <v>625</v>
      </c>
      <c r="L50" s="29" t="s">
        <v>712</v>
      </c>
      <c r="M50" s="31" t="s">
        <v>624</v>
      </c>
      <c r="N50" s="29" t="s">
        <v>655</v>
      </c>
      <c r="O50" s="29" t="s">
        <v>738</v>
      </c>
      <c r="P50" s="29" t="s">
        <v>639</v>
      </c>
      <c r="Q50" s="29" t="s">
        <v>654</v>
      </c>
      <c r="R50" s="29" t="s">
        <v>626</v>
      </c>
    </row>
    <row r="51" spans="1:18" ht="14.3" x14ac:dyDescent="0.25">
      <c r="A51" t="s">
        <v>343</v>
      </c>
      <c r="B51" s="10" t="s">
        <v>344</v>
      </c>
      <c r="C51" t="s">
        <v>345</v>
      </c>
      <c r="D51">
        <v>2017</v>
      </c>
      <c r="E51" t="s">
        <v>128</v>
      </c>
      <c r="F51" s="28" t="s">
        <v>626</v>
      </c>
      <c r="G51" s="29" t="s">
        <v>626</v>
      </c>
      <c r="H51" s="29" t="s">
        <v>626</v>
      </c>
      <c r="I51" s="29" t="s">
        <v>626</v>
      </c>
      <c r="J51" s="31" t="s">
        <v>627</v>
      </c>
      <c r="K51" s="29" t="s">
        <v>697</v>
      </c>
      <c r="L51" s="29" t="s">
        <v>717</v>
      </c>
      <c r="M51" s="31" t="s">
        <v>624</v>
      </c>
      <c r="N51" s="29" t="s">
        <v>654</v>
      </c>
      <c r="O51" s="29" t="s">
        <v>625</v>
      </c>
      <c r="P51" s="29" t="s">
        <v>625</v>
      </c>
      <c r="Q51" s="29" t="s">
        <v>654</v>
      </c>
      <c r="R51" s="29" t="s">
        <v>626</v>
      </c>
    </row>
    <row r="52" spans="1:18" ht="42.8" x14ac:dyDescent="0.25">
      <c r="A52" t="s">
        <v>346</v>
      </c>
      <c r="B52" s="10" t="s">
        <v>347</v>
      </c>
      <c r="C52" t="s">
        <v>348</v>
      </c>
      <c r="D52">
        <v>2020</v>
      </c>
      <c r="E52" t="s">
        <v>157</v>
      </c>
      <c r="F52" s="28" t="s">
        <v>625</v>
      </c>
      <c r="G52" s="29" t="s">
        <v>626</v>
      </c>
      <c r="H52" s="29" t="s">
        <v>626</v>
      </c>
      <c r="I52" s="29" t="s">
        <v>626</v>
      </c>
      <c r="J52" s="31" t="s">
        <v>627</v>
      </c>
      <c r="K52" s="29" t="s">
        <v>697</v>
      </c>
      <c r="L52" s="29" t="s">
        <v>717</v>
      </c>
      <c r="M52" s="31" t="s">
        <v>624</v>
      </c>
      <c r="N52" s="29" t="s">
        <v>654</v>
      </c>
      <c r="O52" s="29" t="s">
        <v>625</v>
      </c>
      <c r="P52" s="29" t="s">
        <v>654</v>
      </c>
      <c r="Q52" s="29" t="s">
        <v>654</v>
      </c>
      <c r="R52" s="29" t="s">
        <v>626</v>
      </c>
    </row>
    <row r="53" spans="1:18" ht="28.55" x14ac:dyDescent="0.25">
      <c r="A53" t="s">
        <v>349</v>
      </c>
      <c r="B53" s="10" t="s">
        <v>350</v>
      </c>
      <c r="C53" t="s">
        <v>351</v>
      </c>
      <c r="D53">
        <v>2014</v>
      </c>
      <c r="E53" t="s">
        <v>352</v>
      </c>
      <c r="F53" s="28" t="s">
        <v>626</v>
      </c>
      <c r="G53" s="29" t="s">
        <v>625</v>
      </c>
      <c r="H53" s="29" t="s">
        <v>625</v>
      </c>
      <c r="I53" s="29" t="s">
        <v>626</v>
      </c>
      <c r="J53" s="31" t="s">
        <v>627</v>
      </c>
      <c r="K53" s="29" t="s">
        <v>698</v>
      </c>
      <c r="L53" s="29" t="s">
        <v>718</v>
      </c>
      <c r="M53" s="31" t="s">
        <v>624</v>
      </c>
      <c r="N53" s="29" t="s">
        <v>655</v>
      </c>
      <c r="O53" s="29" t="s">
        <v>654</v>
      </c>
      <c r="P53" s="29" t="s">
        <v>626</v>
      </c>
      <c r="Q53" s="29" t="s">
        <v>654</v>
      </c>
      <c r="R53" s="29" t="s">
        <v>654</v>
      </c>
    </row>
    <row r="54" spans="1:18" ht="28.55" x14ac:dyDescent="0.25">
      <c r="A54" t="s">
        <v>354</v>
      </c>
      <c r="B54" s="10" t="s">
        <v>355</v>
      </c>
      <c r="C54" t="s">
        <v>356</v>
      </c>
      <c r="D54">
        <v>2021</v>
      </c>
      <c r="E54" t="s">
        <v>357</v>
      </c>
      <c r="F54" s="28" t="s">
        <v>626</v>
      </c>
      <c r="G54" s="29" t="s">
        <v>626</v>
      </c>
      <c r="H54" s="29" t="s">
        <v>625</v>
      </c>
      <c r="I54" s="29" t="s">
        <v>625</v>
      </c>
      <c r="J54" s="31" t="s">
        <v>627</v>
      </c>
      <c r="K54" s="29" t="s">
        <v>654</v>
      </c>
      <c r="L54" s="29" t="s">
        <v>719</v>
      </c>
      <c r="M54" s="31" t="s">
        <v>624</v>
      </c>
      <c r="N54" s="29" t="s">
        <v>654</v>
      </c>
      <c r="O54" s="29" t="s">
        <v>654</v>
      </c>
      <c r="P54" s="29" t="s">
        <v>639</v>
      </c>
      <c r="Q54" s="29" t="s">
        <v>654</v>
      </c>
      <c r="R54" s="29" t="s">
        <v>655</v>
      </c>
    </row>
    <row r="55" spans="1:18" ht="120.6" customHeight="1" x14ac:dyDescent="0.25">
      <c r="A55" t="s">
        <v>619</v>
      </c>
      <c r="B55" s="10" t="s">
        <v>527</v>
      </c>
      <c r="C55" t="s">
        <v>528</v>
      </c>
      <c r="D55">
        <v>2020</v>
      </c>
      <c r="E55" t="s">
        <v>529</v>
      </c>
      <c r="F55" s="28" t="s">
        <v>626</v>
      </c>
      <c r="G55" s="29" t="s">
        <v>625</v>
      </c>
      <c r="H55" s="29" t="s">
        <v>625</v>
      </c>
      <c r="I55" s="29" t="s">
        <v>626</v>
      </c>
      <c r="J55" s="31" t="s">
        <v>627</v>
      </c>
      <c r="K55" s="29" t="s">
        <v>625</v>
      </c>
      <c r="L55" s="29" t="s">
        <v>707</v>
      </c>
      <c r="M55" s="31" t="s">
        <v>624</v>
      </c>
      <c r="N55" s="29" t="s">
        <v>655</v>
      </c>
      <c r="O55" s="29" t="s">
        <v>626</v>
      </c>
      <c r="P55" s="29" t="s">
        <v>626</v>
      </c>
      <c r="Q55" s="29" t="s">
        <v>654</v>
      </c>
      <c r="R55" s="29" t="s">
        <v>654</v>
      </c>
    </row>
    <row r="56" spans="1:18" ht="14.3" x14ac:dyDescent="0.25">
      <c r="A56" t="s">
        <v>620</v>
      </c>
      <c r="B56" s="10" t="s">
        <v>411</v>
      </c>
      <c r="C56" t="s">
        <v>623</v>
      </c>
      <c r="D56">
        <v>2020</v>
      </c>
      <c r="E56" t="s">
        <v>128</v>
      </c>
      <c r="F56" s="28" t="s">
        <v>626</v>
      </c>
      <c r="G56" s="29" t="s">
        <v>625</v>
      </c>
      <c r="H56" s="29" t="s">
        <v>625</v>
      </c>
      <c r="I56" s="29" t="s">
        <v>626</v>
      </c>
      <c r="J56" s="31" t="s">
        <v>627</v>
      </c>
      <c r="K56" s="29" t="s">
        <v>625</v>
      </c>
      <c r="L56" s="29" t="s">
        <v>707</v>
      </c>
      <c r="M56" s="31" t="s">
        <v>624</v>
      </c>
      <c r="N56" s="29" t="s">
        <v>654</v>
      </c>
      <c r="O56" s="29" t="s">
        <v>626</v>
      </c>
      <c r="P56" s="29" t="s">
        <v>626</v>
      </c>
      <c r="Q56" s="29" t="s">
        <v>654</v>
      </c>
      <c r="R56" s="29" t="s">
        <v>655</v>
      </c>
    </row>
    <row r="57" spans="1:18" ht="42.8" x14ac:dyDescent="0.25">
      <c r="A57" t="s">
        <v>390</v>
      </c>
      <c r="B57" s="10" t="s">
        <v>391</v>
      </c>
      <c r="C57" t="s">
        <v>392</v>
      </c>
      <c r="D57">
        <v>2023</v>
      </c>
      <c r="E57" t="s">
        <v>393</v>
      </c>
      <c r="F57" s="28" t="s">
        <v>625</v>
      </c>
      <c r="G57" s="29" t="s">
        <v>625</v>
      </c>
      <c r="H57" s="29" t="s">
        <v>654</v>
      </c>
      <c r="I57" s="29" t="s">
        <v>626</v>
      </c>
      <c r="J57" s="31" t="s">
        <v>627</v>
      </c>
      <c r="K57" s="29" t="s">
        <v>625</v>
      </c>
      <c r="L57" s="29" t="s">
        <v>707</v>
      </c>
      <c r="M57" s="31" t="s">
        <v>624</v>
      </c>
      <c r="N57" s="29" t="s">
        <v>655</v>
      </c>
      <c r="O57" s="29" t="s">
        <v>625</v>
      </c>
      <c r="P57" s="29" t="s">
        <v>625</v>
      </c>
      <c r="Q57" s="29" t="s">
        <v>654</v>
      </c>
      <c r="R57" s="29" t="s">
        <v>626</v>
      </c>
    </row>
    <row r="58" spans="1:18" ht="28.55" x14ac:dyDescent="0.25">
      <c r="A58" t="s">
        <v>359</v>
      </c>
      <c r="B58" s="10" t="s">
        <v>360</v>
      </c>
      <c r="C58" t="s">
        <v>361</v>
      </c>
      <c r="D58">
        <v>2020</v>
      </c>
      <c r="E58" t="s">
        <v>362</v>
      </c>
      <c r="F58" s="28" t="s">
        <v>626</v>
      </c>
      <c r="G58" s="29" t="s">
        <v>625</v>
      </c>
      <c r="H58" s="29" t="s">
        <v>654</v>
      </c>
      <c r="I58" s="29" t="s">
        <v>625</v>
      </c>
      <c r="J58" s="31" t="s">
        <v>627</v>
      </c>
      <c r="K58" s="29" t="s">
        <v>694</v>
      </c>
      <c r="L58" s="29" t="s">
        <v>699</v>
      </c>
      <c r="M58" s="31" t="s">
        <v>624</v>
      </c>
      <c r="N58" s="29" t="s">
        <v>655</v>
      </c>
      <c r="O58" s="29" t="s">
        <v>626</v>
      </c>
      <c r="P58" s="29" t="s">
        <v>625</v>
      </c>
      <c r="Q58" s="29" t="s">
        <v>654</v>
      </c>
      <c r="R58" s="29" t="s">
        <v>626</v>
      </c>
    </row>
    <row r="59" spans="1:18" ht="28.55" x14ac:dyDescent="0.25">
      <c r="A59" t="s">
        <v>363</v>
      </c>
      <c r="B59" s="10" t="s">
        <v>607</v>
      </c>
      <c r="C59" t="s">
        <v>364</v>
      </c>
      <c r="D59">
        <v>2016</v>
      </c>
      <c r="E59" t="s">
        <v>365</v>
      </c>
      <c r="F59" s="28" t="s">
        <v>654</v>
      </c>
      <c r="G59" s="29" t="s">
        <v>625</v>
      </c>
      <c r="H59" s="29" t="s">
        <v>654</v>
      </c>
      <c r="I59" s="29" t="s">
        <v>625</v>
      </c>
      <c r="J59" s="31" t="s">
        <v>627</v>
      </c>
      <c r="K59" s="29" t="s">
        <v>654</v>
      </c>
      <c r="L59" s="29" t="s">
        <v>699</v>
      </c>
      <c r="M59" s="31" t="s">
        <v>624</v>
      </c>
      <c r="N59" s="29" t="s">
        <v>655</v>
      </c>
      <c r="O59" s="29" t="s">
        <v>737</v>
      </c>
      <c r="P59" s="29" t="s">
        <v>640</v>
      </c>
      <c r="Q59" s="29" t="s">
        <v>654</v>
      </c>
      <c r="R59" s="29" t="s">
        <v>656</v>
      </c>
    </row>
    <row r="60" spans="1:18" ht="28.55" x14ac:dyDescent="0.25">
      <c r="A60" t="s">
        <v>366</v>
      </c>
      <c r="B60" s="10" t="s">
        <v>367</v>
      </c>
      <c r="C60" t="s">
        <v>368</v>
      </c>
      <c r="D60">
        <v>2018</v>
      </c>
      <c r="E60" t="s">
        <v>365</v>
      </c>
      <c r="F60" s="28" t="s">
        <v>625</v>
      </c>
      <c r="G60" s="29" t="s">
        <v>654</v>
      </c>
      <c r="H60" s="29" t="s">
        <v>654</v>
      </c>
      <c r="I60" s="29" t="s">
        <v>625</v>
      </c>
      <c r="J60" s="31" t="s">
        <v>627</v>
      </c>
      <c r="K60" s="29" t="s">
        <v>654</v>
      </c>
      <c r="L60" s="29" t="s">
        <v>720</v>
      </c>
      <c r="M60" s="31" t="s">
        <v>624</v>
      </c>
      <c r="N60" s="29" t="s">
        <v>655</v>
      </c>
      <c r="O60" s="29" t="s">
        <v>737</v>
      </c>
      <c r="P60" s="29" t="s">
        <v>640</v>
      </c>
      <c r="Q60" s="29" t="s">
        <v>626</v>
      </c>
      <c r="R60" s="29" t="s">
        <v>626</v>
      </c>
    </row>
    <row r="61" spans="1:18" ht="28.55" x14ac:dyDescent="0.25">
      <c r="A61" t="s">
        <v>595</v>
      </c>
      <c r="B61" s="10" t="s">
        <v>369</v>
      </c>
      <c r="C61" t="s">
        <v>370</v>
      </c>
      <c r="D61">
        <v>2019</v>
      </c>
      <c r="E61" t="s">
        <v>101</v>
      </c>
      <c r="F61" s="28" t="s">
        <v>625</v>
      </c>
      <c r="G61" s="29" t="s">
        <v>625</v>
      </c>
      <c r="H61" s="29" t="s">
        <v>625</v>
      </c>
      <c r="I61" s="29" t="s">
        <v>625</v>
      </c>
      <c r="J61" s="31" t="s">
        <v>627</v>
      </c>
      <c r="K61" s="29" t="s">
        <v>625</v>
      </c>
      <c r="L61" s="29" t="s">
        <v>720</v>
      </c>
      <c r="M61" s="31" t="s">
        <v>624</v>
      </c>
      <c r="N61" s="29" t="s">
        <v>654</v>
      </c>
      <c r="O61" s="29" t="s">
        <v>626</v>
      </c>
      <c r="P61" s="29" t="s">
        <v>654</v>
      </c>
      <c r="Q61" s="29" t="s">
        <v>654</v>
      </c>
      <c r="R61" s="29" t="s">
        <v>626</v>
      </c>
    </row>
    <row r="62" spans="1:18" ht="28.55" x14ac:dyDescent="0.25">
      <c r="A62" t="s">
        <v>371</v>
      </c>
      <c r="B62" s="10" t="s">
        <v>622</v>
      </c>
      <c r="C62" t="s">
        <v>372</v>
      </c>
      <c r="D62">
        <v>2015</v>
      </c>
      <c r="E62" t="s">
        <v>101</v>
      </c>
      <c r="F62" s="28" t="s">
        <v>640</v>
      </c>
      <c r="G62" s="29" t="s">
        <v>625</v>
      </c>
      <c r="H62" s="29" t="s">
        <v>625</v>
      </c>
      <c r="I62" s="29" t="s">
        <v>626</v>
      </c>
      <c r="J62" s="31" t="s">
        <v>627</v>
      </c>
      <c r="K62" s="29" t="s">
        <v>625</v>
      </c>
      <c r="L62" s="29" t="s">
        <v>720</v>
      </c>
      <c r="M62" s="31" t="s">
        <v>624</v>
      </c>
      <c r="N62" s="29" t="s">
        <v>654</v>
      </c>
      <c r="O62" s="29" t="s">
        <v>738</v>
      </c>
      <c r="P62" s="29" t="s">
        <v>625</v>
      </c>
      <c r="Q62" s="29" t="s">
        <v>654</v>
      </c>
      <c r="R62" s="29" t="s">
        <v>626</v>
      </c>
    </row>
    <row r="63" spans="1:18" ht="28.55" x14ac:dyDescent="0.25">
      <c r="A63" t="s">
        <v>373</v>
      </c>
      <c r="B63" s="13" t="s">
        <v>374</v>
      </c>
      <c r="C63" t="s">
        <v>375</v>
      </c>
      <c r="D63">
        <v>2015</v>
      </c>
      <c r="E63" t="s">
        <v>376</v>
      </c>
      <c r="F63" s="28" t="s">
        <v>640</v>
      </c>
      <c r="G63" s="29" t="s">
        <v>625</v>
      </c>
      <c r="H63" s="29" t="s">
        <v>654</v>
      </c>
      <c r="I63" s="29" t="s">
        <v>625</v>
      </c>
      <c r="J63" s="31" t="s">
        <v>627</v>
      </c>
      <c r="K63" s="29" t="s">
        <v>626</v>
      </c>
      <c r="L63" s="29" t="s">
        <v>700</v>
      </c>
      <c r="M63" s="31" t="s">
        <v>624</v>
      </c>
      <c r="N63" s="29" t="s">
        <v>655</v>
      </c>
      <c r="O63" s="29" t="s">
        <v>625</v>
      </c>
      <c r="P63" s="29" t="s">
        <v>625</v>
      </c>
      <c r="Q63" s="29" t="s">
        <v>654</v>
      </c>
      <c r="R63" s="29" t="s">
        <v>626</v>
      </c>
    </row>
    <row r="64" spans="1:18" ht="28.55" x14ac:dyDescent="0.25">
      <c r="A64" t="s">
        <v>548</v>
      </c>
      <c r="B64" s="10" t="s">
        <v>549</v>
      </c>
      <c r="C64" t="s">
        <v>550</v>
      </c>
      <c r="D64">
        <v>2015</v>
      </c>
      <c r="E64" t="s">
        <v>589</v>
      </c>
      <c r="F64" s="28" t="s">
        <v>654</v>
      </c>
      <c r="G64" s="29" t="s">
        <v>625</v>
      </c>
      <c r="H64" s="29" t="s">
        <v>625</v>
      </c>
      <c r="I64" s="29" t="s">
        <v>626</v>
      </c>
      <c r="J64" s="31" t="s">
        <v>627</v>
      </c>
      <c r="K64" s="29" t="s">
        <v>626</v>
      </c>
      <c r="L64" s="29" t="s">
        <v>721</v>
      </c>
      <c r="M64" s="31" t="s">
        <v>624</v>
      </c>
      <c r="N64" s="29" t="s">
        <v>654</v>
      </c>
      <c r="O64" s="29" t="s">
        <v>655</v>
      </c>
      <c r="P64" s="29" t="s">
        <v>655</v>
      </c>
      <c r="Q64" s="29" t="s">
        <v>626</v>
      </c>
      <c r="R64" s="29" t="s">
        <v>657</v>
      </c>
    </row>
    <row r="65" spans="1:18" ht="28.55" x14ac:dyDescent="0.25">
      <c r="A65" t="s">
        <v>489</v>
      </c>
      <c r="B65" s="10" t="s">
        <v>490</v>
      </c>
      <c r="C65" t="s">
        <v>491</v>
      </c>
      <c r="D65">
        <v>2021</v>
      </c>
      <c r="E65" t="s">
        <v>128</v>
      </c>
      <c r="F65" s="28" t="s">
        <v>639</v>
      </c>
      <c r="G65" s="29" t="s">
        <v>626</v>
      </c>
      <c r="H65" s="29" t="s">
        <v>626</v>
      </c>
      <c r="I65" s="29" t="s">
        <v>626</v>
      </c>
      <c r="J65" s="31" t="s">
        <v>627</v>
      </c>
      <c r="K65" s="29" t="s">
        <v>626</v>
      </c>
      <c r="L65" s="29" t="s">
        <v>722</v>
      </c>
      <c r="M65" s="31" t="s">
        <v>624</v>
      </c>
      <c r="N65" s="29" t="s">
        <v>655</v>
      </c>
      <c r="O65" s="29" t="s">
        <v>654</v>
      </c>
      <c r="P65" s="29" t="s">
        <v>626</v>
      </c>
      <c r="Q65" s="29" t="s">
        <v>654</v>
      </c>
      <c r="R65" s="29" t="s">
        <v>626</v>
      </c>
    </row>
    <row r="66" spans="1:18" ht="46.9" customHeight="1" x14ac:dyDescent="0.25">
      <c r="A66" t="s">
        <v>397</v>
      </c>
      <c r="B66" s="10" t="s">
        <v>398</v>
      </c>
      <c r="C66" t="s">
        <v>399</v>
      </c>
      <c r="D66">
        <v>2020</v>
      </c>
      <c r="E66" t="s">
        <v>400</v>
      </c>
      <c r="F66" s="28" t="s">
        <v>626</v>
      </c>
      <c r="G66" s="29" t="s">
        <v>626</v>
      </c>
      <c r="H66" s="29" t="s">
        <v>625</v>
      </c>
      <c r="I66" s="29" t="s">
        <v>626</v>
      </c>
      <c r="J66" s="31" t="s">
        <v>627</v>
      </c>
      <c r="K66" s="29" t="s">
        <v>626</v>
      </c>
      <c r="L66" s="29" t="s">
        <v>720</v>
      </c>
      <c r="M66" s="31" t="s">
        <v>624</v>
      </c>
      <c r="N66" s="29" t="s">
        <v>654</v>
      </c>
      <c r="O66" s="29" t="s">
        <v>654</v>
      </c>
      <c r="P66" s="29" t="s">
        <v>625</v>
      </c>
      <c r="Q66" s="29" t="s">
        <v>654</v>
      </c>
      <c r="R66" s="29" t="s">
        <v>657</v>
      </c>
    </row>
    <row r="67" spans="1:18" ht="81.7" customHeight="1" x14ac:dyDescent="0.25">
      <c r="A67" t="s">
        <v>394</v>
      </c>
      <c r="B67" s="10" t="s">
        <v>395</v>
      </c>
      <c r="C67" t="s">
        <v>396</v>
      </c>
      <c r="D67">
        <v>2021</v>
      </c>
      <c r="E67" t="s">
        <v>73</v>
      </c>
      <c r="F67" s="28" t="s">
        <v>639</v>
      </c>
      <c r="G67" s="29" t="s">
        <v>625</v>
      </c>
      <c r="H67" s="29" t="s">
        <v>625</v>
      </c>
      <c r="I67" s="29" t="s">
        <v>625</v>
      </c>
      <c r="J67" s="31" t="s">
        <v>627</v>
      </c>
      <c r="K67" s="29" t="s">
        <v>626</v>
      </c>
      <c r="L67" s="29" t="s">
        <v>723</v>
      </c>
      <c r="M67" s="31" t="s">
        <v>624</v>
      </c>
      <c r="N67" s="29" t="s">
        <v>655</v>
      </c>
      <c r="O67" s="29" t="s">
        <v>654</v>
      </c>
      <c r="P67" s="29" t="s">
        <v>640</v>
      </c>
      <c r="Q67" s="29" t="s">
        <v>654</v>
      </c>
      <c r="R67" s="29" t="s">
        <v>626</v>
      </c>
    </row>
    <row r="68" spans="1:18" ht="14.3" x14ac:dyDescent="0.25">
      <c r="A68" t="s">
        <v>377</v>
      </c>
      <c r="B68" s="10" t="s">
        <v>378</v>
      </c>
      <c r="C68" t="s">
        <v>379</v>
      </c>
      <c r="D68">
        <v>2015</v>
      </c>
      <c r="E68" t="s">
        <v>380</v>
      </c>
      <c r="F68" s="28" t="s">
        <v>625</v>
      </c>
      <c r="G68" s="29" t="s">
        <v>626</v>
      </c>
      <c r="H68" s="29" t="s">
        <v>654</v>
      </c>
      <c r="I68" s="29" t="s">
        <v>626</v>
      </c>
      <c r="J68" s="31" t="s">
        <v>627</v>
      </c>
      <c r="K68" s="29" t="s">
        <v>626</v>
      </c>
      <c r="L68" s="29" t="s">
        <v>724</v>
      </c>
      <c r="M68" s="31" t="s">
        <v>624</v>
      </c>
      <c r="N68" s="29" t="s">
        <v>655</v>
      </c>
      <c r="O68" s="29" t="s">
        <v>654</v>
      </c>
      <c r="P68" s="29" t="s">
        <v>625</v>
      </c>
      <c r="Q68" s="29" t="s">
        <v>654</v>
      </c>
      <c r="R68" s="29" t="s">
        <v>626</v>
      </c>
    </row>
    <row r="69" spans="1:18" ht="28.55" x14ac:dyDescent="0.25">
      <c r="A69" t="s">
        <v>381</v>
      </c>
      <c r="B69" s="10" t="s">
        <v>382</v>
      </c>
      <c r="C69" t="s">
        <v>383</v>
      </c>
      <c r="D69">
        <v>2016</v>
      </c>
      <c r="E69" t="s">
        <v>101</v>
      </c>
      <c r="F69" s="28" t="s">
        <v>626</v>
      </c>
      <c r="G69" s="29" t="s">
        <v>626</v>
      </c>
      <c r="H69" s="29" t="s">
        <v>625</v>
      </c>
      <c r="I69" s="29" t="s">
        <v>626</v>
      </c>
      <c r="J69" s="31" t="s">
        <v>627</v>
      </c>
      <c r="K69" s="29" t="s">
        <v>626</v>
      </c>
      <c r="L69" s="29" t="s">
        <v>725</v>
      </c>
      <c r="M69" s="31" t="s">
        <v>624</v>
      </c>
      <c r="N69" s="29" t="s">
        <v>655</v>
      </c>
      <c r="O69" s="29" t="s">
        <v>625</v>
      </c>
      <c r="P69" s="29" t="s">
        <v>625</v>
      </c>
      <c r="Q69" s="29" t="s">
        <v>654</v>
      </c>
      <c r="R69" s="29" t="s">
        <v>655</v>
      </c>
    </row>
    <row r="70" spans="1:18" ht="29.25" thickBot="1" x14ac:dyDescent="0.3">
      <c r="A70" t="s">
        <v>508</v>
      </c>
      <c r="B70" s="10" t="s">
        <v>509</v>
      </c>
      <c r="C70" t="s">
        <v>510</v>
      </c>
      <c r="D70">
        <v>2024</v>
      </c>
      <c r="E70" t="s">
        <v>423</v>
      </c>
      <c r="F70" s="28" t="s">
        <v>640</v>
      </c>
      <c r="G70" s="29" t="s">
        <v>625</v>
      </c>
      <c r="H70" s="29" t="s">
        <v>625</v>
      </c>
      <c r="I70" s="29" t="s">
        <v>625</v>
      </c>
      <c r="J70" s="31" t="s">
        <v>627</v>
      </c>
      <c r="K70" s="29" t="s">
        <v>626</v>
      </c>
      <c r="L70" s="29" t="s">
        <v>725</v>
      </c>
      <c r="M70" s="31" t="s">
        <v>624</v>
      </c>
      <c r="N70" s="29" t="s">
        <v>654</v>
      </c>
      <c r="O70" s="29" t="s">
        <v>655</v>
      </c>
      <c r="P70" s="29" t="s">
        <v>655</v>
      </c>
      <c r="Q70" s="29" t="s">
        <v>625</v>
      </c>
      <c r="R70" s="29" t="s">
        <v>626</v>
      </c>
    </row>
    <row r="71" spans="1:18" thickBot="1" x14ac:dyDescent="0.3">
      <c r="A71" s="19" t="s">
        <v>384</v>
      </c>
      <c r="B71" s="20" t="s">
        <v>385</v>
      </c>
      <c r="C71" s="19" t="s">
        <v>386</v>
      </c>
      <c r="D71">
        <v>2022</v>
      </c>
      <c r="E71" t="s">
        <v>387</v>
      </c>
      <c r="F71" s="28" t="s">
        <v>625</v>
      </c>
      <c r="G71" s="29" t="s">
        <v>626</v>
      </c>
      <c r="H71" s="29" t="s">
        <v>625</v>
      </c>
      <c r="I71" s="29" t="s">
        <v>625</v>
      </c>
      <c r="J71" s="31" t="s">
        <v>627</v>
      </c>
      <c r="K71" s="29" t="s">
        <v>626</v>
      </c>
      <c r="L71" s="29" t="s">
        <v>711</v>
      </c>
      <c r="M71" s="31" t="s">
        <v>624</v>
      </c>
      <c r="N71" s="29" t="s">
        <v>655</v>
      </c>
      <c r="O71" s="29" t="s">
        <v>625</v>
      </c>
      <c r="P71" s="29" t="s">
        <v>625</v>
      </c>
      <c r="Q71" s="29" t="s">
        <v>625</v>
      </c>
      <c r="R71" s="29" t="s">
        <v>626</v>
      </c>
    </row>
    <row r="72" spans="1:18" ht="36" customHeight="1" x14ac:dyDescent="0.25">
      <c r="A72" t="s">
        <v>596</v>
      </c>
      <c r="B72" s="10" t="s">
        <v>388</v>
      </c>
      <c r="C72" t="s">
        <v>389</v>
      </c>
      <c r="D72">
        <v>2017</v>
      </c>
      <c r="E72" t="s">
        <v>108</v>
      </c>
      <c r="F72" s="28" t="s">
        <v>625</v>
      </c>
      <c r="G72" s="29" t="s">
        <v>626</v>
      </c>
      <c r="H72" s="29" t="s">
        <v>654</v>
      </c>
      <c r="I72" s="29" t="s">
        <v>625</v>
      </c>
      <c r="J72" s="31" t="s">
        <v>627</v>
      </c>
      <c r="K72" s="29" t="s">
        <v>626</v>
      </c>
      <c r="L72" s="29" t="s">
        <v>712</v>
      </c>
      <c r="M72" s="31" t="s">
        <v>624</v>
      </c>
      <c r="N72" s="29" t="s">
        <v>654</v>
      </c>
      <c r="O72" s="29" t="s">
        <v>654</v>
      </c>
      <c r="P72" s="29" t="s">
        <v>625</v>
      </c>
      <c r="Q72" s="29" t="s">
        <v>654</v>
      </c>
      <c r="R72" s="29" t="s">
        <v>657</v>
      </c>
    </row>
    <row r="73" spans="1:18" ht="28.55" x14ac:dyDescent="0.25">
      <c r="A73" t="s">
        <v>432</v>
      </c>
      <c r="B73" s="10" t="s">
        <v>433</v>
      </c>
      <c r="C73" t="s">
        <v>434</v>
      </c>
      <c r="D73">
        <v>2021</v>
      </c>
      <c r="E73" t="s">
        <v>128</v>
      </c>
      <c r="F73" s="28" t="s">
        <v>625</v>
      </c>
      <c r="G73" s="29" t="s">
        <v>625</v>
      </c>
      <c r="H73" s="29" t="s">
        <v>625</v>
      </c>
      <c r="I73" s="29" t="s">
        <v>625</v>
      </c>
      <c r="J73" s="31" t="s">
        <v>627</v>
      </c>
      <c r="K73" s="29" t="s">
        <v>626</v>
      </c>
      <c r="L73" s="29" t="s">
        <v>726</v>
      </c>
      <c r="M73" s="31" t="s">
        <v>624</v>
      </c>
      <c r="N73" s="29" t="s">
        <v>655</v>
      </c>
      <c r="O73" s="29" t="s">
        <v>625</v>
      </c>
      <c r="P73" s="29" t="s">
        <v>626</v>
      </c>
      <c r="Q73" s="29" t="s">
        <v>654</v>
      </c>
      <c r="R73" s="29" t="s">
        <v>626</v>
      </c>
    </row>
    <row r="74" spans="1:18" ht="28.55" x14ac:dyDescent="0.25">
      <c r="A74" t="s">
        <v>483</v>
      </c>
      <c r="B74" s="10" t="s">
        <v>484</v>
      </c>
      <c r="C74" t="s">
        <v>485</v>
      </c>
      <c r="D74">
        <v>2024</v>
      </c>
      <c r="E74" t="s">
        <v>482</v>
      </c>
      <c r="F74" s="28" t="s">
        <v>625</v>
      </c>
      <c r="G74" s="29" t="s">
        <v>626</v>
      </c>
      <c r="H74" s="29" t="s">
        <v>626</v>
      </c>
      <c r="I74" s="29" t="s">
        <v>626</v>
      </c>
      <c r="J74" s="31" t="s">
        <v>627</v>
      </c>
      <c r="K74" s="29" t="s">
        <v>626</v>
      </c>
      <c r="L74" s="29" t="s">
        <v>726</v>
      </c>
      <c r="M74" s="31" t="s">
        <v>624</v>
      </c>
      <c r="N74" s="29" t="s">
        <v>655</v>
      </c>
      <c r="O74" s="29" t="s">
        <v>625</v>
      </c>
      <c r="P74" s="29" t="s">
        <v>626</v>
      </c>
      <c r="Q74" s="29" t="s">
        <v>654</v>
      </c>
      <c r="R74" s="29" t="s">
        <v>626</v>
      </c>
    </row>
    <row r="75" spans="1:18" ht="14.3" x14ac:dyDescent="0.25">
      <c r="A75" t="s">
        <v>761</v>
      </c>
      <c r="B75" s="10" t="s">
        <v>743</v>
      </c>
      <c r="C75" t="s">
        <v>749</v>
      </c>
      <c r="D75">
        <v>2025</v>
      </c>
      <c r="E75" t="s">
        <v>755</v>
      </c>
      <c r="F75" s="28" t="s">
        <v>626</v>
      </c>
      <c r="G75" s="29" t="s">
        <v>626</v>
      </c>
      <c r="H75" s="29" t="s">
        <v>625</v>
      </c>
      <c r="I75" s="29" t="s">
        <v>626</v>
      </c>
      <c r="J75" s="31"/>
      <c r="K75" s="29" t="s">
        <v>625</v>
      </c>
      <c r="L75" s="29" t="s">
        <v>762</v>
      </c>
      <c r="M75" s="31"/>
      <c r="N75" s="29" t="s">
        <v>654</v>
      </c>
      <c r="O75" s="29" t="s">
        <v>654</v>
      </c>
      <c r="P75" s="29" t="s">
        <v>654</v>
      </c>
      <c r="Q75" s="29" t="s">
        <v>654</v>
      </c>
      <c r="R75" s="29" t="s">
        <v>626</v>
      </c>
    </row>
    <row r="76" spans="1:18" ht="14.3" x14ac:dyDescent="0.25">
      <c r="A76" t="s">
        <v>760</v>
      </c>
      <c r="B76" s="10" t="s">
        <v>744</v>
      </c>
      <c r="C76" t="s">
        <v>750</v>
      </c>
      <c r="D76">
        <v>2025</v>
      </c>
      <c r="E76" t="s">
        <v>157</v>
      </c>
      <c r="F76" s="28" t="s">
        <v>626</v>
      </c>
      <c r="G76" s="29" t="s">
        <v>626</v>
      </c>
      <c r="H76" s="29" t="s">
        <v>625</v>
      </c>
      <c r="I76" s="29" t="s">
        <v>626</v>
      </c>
      <c r="J76" s="31"/>
      <c r="K76" s="29" t="s">
        <v>625</v>
      </c>
      <c r="L76" s="29" t="s">
        <v>762</v>
      </c>
      <c r="M76" s="31"/>
      <c r="N76" s="29" t="s">
        <v>654</v>
      </c>
      <c r="O76" s="29" t="s">
        <v>654</v>
      </c>
      <c r="P76" s="29" t="s">
        <v>654</v>
      </c>
      <c r="Q76" s="29" t="s">
        <v>654</v>
      </c>
      <c r="R76" s="29" t="s">
        <v>626</v>
      </c>
    </row>
    <row r="77" spans="1:18" ht="28.9" customHeight="1" x14ac:dyDescent="0.25">
      <c r="A77" t="s">
        <v>739</v>
      </c>
      <c r="B77" s="10" t="s">
        <v>745</v>
      </c>
      <c r="C77" t="s">
        <v>751</v>
      </c>
      <c r="D77">
        <v>2025</v>
      </c>
      <c r="E77" t="s">
        <v>756</v>
      </c>
      <c r="F77" s="28" t="s">
        <v>626</v>
      </c>
      <c r="G77" s="29" t="s">
        <v>626</v>
      </c>
      <c r="H77" s="29" t="s">
        <v>759</v>
      </c>
      <c r="I77" s="29" t="s">
        <v>626</v>
      </c>
      <c r="J77" s="31"/>
      <c r="K77" s="29" t="s">
        <v>625</v>
      </c>
      <c r="L77" s="29" t="s">
        <v>762</v>
      </c>
      <c r="M77" s="31"/>
      <c r="N77" s="29" t="s">
        <v>654</v>
      </c>
      <c r="O77" s="29" t="s">
        <v>625</v>
      </c>
      <c r="P77" s="29" t="s">
        <v>626</v>
      </c>
      <c r="Q77" s="29" t="s">
        <v>625</v>
      </c>
      <c r="R77" s="29" t="s">
        <v>626</v>
      </c>
    </row>
    <row r="78" spans="1:18" ht="30.6" customHeight="1" x14ac:dyDescent="0.25">
      <c r="A78" t="s">
        <v>740</v>
      </c>
      <c r="B78" s="10" t="s">
        <v>746</v>
      </c>
      <c r="C78" t="s">
        <v>752</v>
      </c>
      <c r="D78">
        <v>2023</v>
      </c>
      <c r="E78" t="s">
        <v>757</v>
      </c>
      <c r="F78" s="28" t="s">
        <v>626</v>
      </c>
      <c r="G78" s="29" t="s">
        <v>626</v>
      </c>
      <c r="H78" s="29" t="s">
        <v>626</v>
      </c>
      <c r="I78" s="29" t="s">
        <v>626</v>
      </c>
      <c r="J78" s="31"/>
      <c r="K78" s="29" t="s">
        <v>625</v>
      </c>
      <c r="L78" s="29" t="s">
        <v>763</v>
      </c>
      <c r="M78" s="31"/>
      <c r="N78" s="29" t="s">
        <v>654</v>
      </c>
      <c r="O78" s="29" t="s">
        <v>625</v>
      </c>
      <c r="P78" s="29" t="s">
        <v>654</v>
      </c>
      <c r="Q78" s="29" t="s">
        <v>626</v>
      </c>
      <c r="R78" s="29" t="s">
        <v>626</v>
      </c>
    </row>
    <row r="79" spans="1:18" ht="29.4" customHeight="1" x14ac:dyDescent="0.25">
      <c r="A79" t="s">
        <v>742</v>
      </c>
      <c r="B79" s="10" t="s">
        <v>748</v>
      </c>
      <c r="C79" t="s">
        <v>754</v>
      </c>
      <c r="D79">
        <v>2025</v>
      </c>
      <c r="E79" t="s">
        <v>758</v>
      </c>
      <c r="F79" s="28" t="s">
        <v>625</v>
      </c>
      <c r="G79" s="29" t="s">
        <v>626</v>
      </c>
      <c r="H79" s="29" t="s">
        <v>626</v>
      </c>
      <c r="I79" s="29" t="s">
        <v>626</v>
      </c>
      <c r="J79" s="31"/>
      <c r="K79" s="29" t="s">
        <v>625</v>
      </c>
      <c r="L79" s="29" t="s">
        <v>764</v>
      </c>
      <c r="M79" s="31"/>
      <c r="N79" s="29" t="s">
        <v>654</v>
      </c>
      <c r="O79" s="29" t="s">
        <v>625</v>
      </c>
      <c r="P79" s="29" t="s">
        <v>625</v>
      </c>
      <c r="Q79" s="29" t="s">
        <v>654</v>
      </c>
      <c r="R79" s="29" t="s">
        <v>626</v>
      </c>
    </row>
    <row r="80" spans="1:18" ht="14.95" customHeight="1" x14ac:dyDescent="0.25">
      <c r="A80" t="s">
        <v>741</v>
      </c>
      <c r="B80" s="10" t="s">
        <v>747</v>
      </c>
      <c r="C80" t="s">
        <v>753</v>
      </c>
      <c r="D80">
        <v>2025</v>
      </c>
      <c r="E80" t="s">
        <v>101</v>
      </c>
      <c r="F80" s="28" t="s">
        <v>626</v>
      </c>
      <c r="G80" s="29" t="s">
        <v>626</v>
      </c>
      <c r="H80" s="29" t="s">
        <v>626</v>
      </c>
      <c r="I80" s="29" t="s">
        <v>626</v>
      </c>
      <c r="J80" s="31"/>
      <c r="K80" s="29" t="s">
        <v>626</v>
      </c>
      <c r="L80" s="29" t="s">
        <v>720</v>
      </c>
      <c r="M80" s="31"/>
      <c r="N80" s="29" t="s">
        <v>654</v>
      </c>
      <c r="O80" s="29" t="s">
        <v>626</v>
      </c>
      <c r="P80" s="29" t="s">
        <v>626</v>
      </c>
      <c r="Q80" s="29" t="s">
        <v>626</v>
      </c>
      <c r="R80" s="29" t="s">
        <v>626</v>
      </c>
    </row>
  </sheetData>
  <phoneticPr fontId="3" type="noConversion"/>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4F8C-CCDD-40C2-96B3-0FCB86438C20}">
  <dimension ref="A1:BH30"/>
  <sheetViews>
    <sheetView topLeftCell="A29" workbookViewId="0">
      <selection activeCell="B30" sqref="B30"/>
    </sheetView>
  </sheetViews>
  <sheetFormatPr baseColWidth="10" defaultRowHeight="14.3" x14ac:dyDescent="0.25"/>
  <sheetData>
    <row r="1" spans="1:52" s="6" customFormat="1" ht="114.8" thickBot="1" x14ac:dyDescent="0.3">
      <c r="A1" s="6" t="s">
        <v>2</v>
      </c>
      <c r="B1" s="6" t="s">
        <v>3</v>
      </c>
      <c r="C1" s="6" t="s">
        <v>4</v>
      </c>
      <c r="D1" s="6" t="s">
        <v>486</v>
      </c>
      <c r="E1" s="6" t="s">
        <v>5</v>
      </c>
      <c r="F1" s="6" t="s">
        <v>6</v>
      </c>
      <c r="G1" s="6" t="s">
        <v>7</v>
      </c>
      <c r="H1" s="6" t="s">
        <v>8</v>
      </c>
      <c r="I1" s="6" t="s">
        <v>9</v>
      </c>
      <c r="J1" s="6" t="s">
        <v>10</v>
      </c>
      <c r="K1" s="7" t="s">
        <v>11</v>
      </c>
      <c r="L1" s="5" t="s">
        <v>12</v>
      </c>
      <c r="M1" s="6" t="s">
        <v>13</v>
      </c>
      <c r="N1" s="6" t="s">
        <v>14</v>
      </c>
      <c r="O1" s="6" t="s">
        <v>15</v>
      </c>
      <c r="P1" s="6" t="s">
        <v>16</v>
      </c>
      <c r="Q1" s="7" t="s">
        <v>17</v>
      </c>
      <c r="R1" s="6" t="s">
        <v>18</v>
      </c>
      <c r="S1" s="6" t="s">
        <v>19</v>
      </c>
      <c r="T1" s="6" t="s">
        <v>20</v>
      </c>
      <c r="U1" s="6" t="s">
        <v>21</v>
      </c>
      <c r="V1" s="6" t="s">
        <v>22</v>
      </c>
      <c r="W1" s="6" t="s">
        <v>23</v>
      </c>
      <c r="X1" s="6" t="s">
        <v>437</v>
      </c>
      <c r="Y1" s="6" t="s">
        <v>438</v>
      </c>
      <c r="Z1" s="6" t="s">
        <v>24</v>
      </c>
      <c r="AA1" s="6" t="s">
        <v>25</v>
      </c>
      <c r="AB1" s="7" t="s">
        <v>26</v>
      </c>
      <c r="AC1" s="5" t="s">
        <v>27</v>
      </c>
      <c r="AD1" s="6" t="s">
        <v>28</v>
      </c>
      <c r="AE1" s="6" t="s">
        <v>29</v>
      </c>
      <c r="AF1" s="7" t="s">
        <v>30</v>
      </c>
      <c r="AG1" s="5" t="s">
        <v>31</v>
      </c>
      <c r="AH1" s="7" t="s">
        <v>32</v>
      </c>
      <c r="AI1" s="5" t="s">
        <v>33</v>
      </c>
      <c r="AJ1" s="6" t="s">
        <v>34</v>
      </c>
      <c r="AK1" s="7" t="s">
        <v>35</v>
      </c>
      <c r="AL1" s="5" t="s">
        <v>36</v>
      </c>
      <c r="AM1" s="6" t="s">
        <v>37</v>
      </c>
      <c r="AN1" s="6" t="s">
        <v>38</v>
      </c>
      <c r="AO1" s="6" t="s">
        <v>39</v>
      </c>
      <c r="AP1" s="6" t="s">
        <v>40</v>
      </c>
      <c r="AQ1" s="6" t="s">
        <v>41</v>
      </c>
      <c r="AR1" s="6" t="s">
        <v>40</v>
      </c>
      <c r="AS1" s="6" t="s">
        <v>42</v>
      </c>
      <c r="AT1" s="6" t="s">
        <v>452</v>
      </c>
      <c r="AU1" s="8" t="s">
        <v>0</v>
      </c>
      <c r="AV1" s="6" t="s">
        <v>43</v>
      </c>
    </row>
    <row r="2" spans="1:52" s="1" customFormat="1" ht="67.75" customHeight="1" x14ac:dyDescent="0.25">
      <c r="A2" s="10" t="s">
        <v>44</v>
      </c>
      <c r="B2" t="s">
        <v>81</v>
      </c>
      <c r="C2"/>
      <c r="D2"/>
      <c r="E2" t="s">
        <v>82</v>
      </c>
      <c r="F2" s="10" t="s">
        <v>83</v>
      </c>
      <c r="G2" t="s">
        <v>84</v>
      </c>
      <c r="H2">
        <v>2005</v>
      </c>
      <c r="I2" t="s">
        <v>85</v>
      </c>
      <c r="J2" s="10" t="s">
        <v>86</v>
      </c>
      <c r="K2" s="12" t="s">
        <v>87</v>
      </c>
      <c r="L2" s="16" t="s">
        <v>88</v>
      </c>
      <c r="M2" t="s">
        <v>89</v>
      </c>
      <c r="N2" t="s">
        <v>90</v>
      </c>
      <c r="O2"/>
      <c r="P2" t="s">
        <v>49</v>
      </c>
      <c r="Q2" s="3" t="s">
        <v>50</v>
      </c>
      <c r="R2" t="s">
        <v>91</v>
      </c>
      <c r="S2">
        <v>74</v>
      </c>
      <c r="T2" t="s">
        <v>50</v>
      </c>
      <c r="U2" t="s">
        <v>50</v>
      </c>
      <c r="V2" t="s">
        <v>52</v>
      </c>
      <c r="W2">
        <v>745</v>
      </c>
      <c r="X2"/>
      <c r="Y2" t="s">
        <v>92</v>
      </c>
      <c r="Z2" t="s">
        <v>53</v>
      </c>
      <c r="AA2" t="s">
        <v>93</v>
      </c>
      <c r="AB2" s="3" t="s">
        <v>94</v>
      </c>
      <c r="AC2" s="2" t="s">
        <v>54</v>
      </c>
      <c r="AD2" t="s">
        <v>80</v>
      </c>
      <c r="AE2" t="s">
        <v>50</v>
      </c>
      <c r="AF2" s="3" t="s">
        <v>50</v>
      </c>
      <c r="AG2" s="2" t="s">
        <v>64</v>
      </c>
      <c r="AH2" s="3" t="s">
        <v>95</v>
      </c>
      <c r="AI2" s="2" t="s">
        <v>96</v>
      </c>
      <c r="AJ2" t="s">
        <v>97</v>
      </c>
      <c r="AK2" s="3"/>
      <c r="AL2" s="2" t="s">
        <v>55</v>
      </c>
      <c r="AM2" t="s">
        <v>50</v>
      </c>
      <c r="AN2" t="s">
        <v>50</v>
      </c>
      <c r="AO2" t="s">
        <v>50</v>
      </c>
      <c r="AP2" t="s">
        <v>50</v>
      </c>
      <c r="AQ2" t="s">
        <v>50</v>
      </c>
      <c r="AR2" t="s">
        <v>50</v>
      </c>
      <c r="AS2" t="s">
        <v>56</v>
      </c>
      <c r="AT2" t="s">
        <v>57</v>
      </c>
      <c r="AU2" s="4"/>
    </row>
    <row r="3" spans="1:52" ht="97.15" customHeight="1" x14ac:dyDescent="0.25">
      <c r="A3" s="10" t="s">
        <v>44</v>
      </c>
      <c r="B3" t="s">
        <v>152</v>
      </c>
      <c r="C3" s="9" t="s">
        <v>153</v>
      </c>
      <c r="D3" s="9"/>
      <c r="E3" t="s">
        <v>154</v>
      </c>
      <c r="F3" s="10" t="s">
        <v>155</v>
      </c>
      <c r="G3" t="s">
        <v>156</v>
      </c>
      <c r="H3">
        <v>2017</v>
      </c>
      <c r="I3" t="s">
        <v>157</v>
      </c>
      <c r="J3" s="10" t="s">
        <v>151</v>
      </c>
      <c r="K3" s="12" t="s">
        <v>158</v>
      </c>
      <c r="L3" s="16" t="s">
        <v>159</v>
      </c>
      <c r="M3" s="10" t="s">
        <v>160</v>
      </c>
      <c r="N3">
        <v>2006</v>
      </c>
      <c r="O3" s="10" t="s">
        <v>102</v>
      </c>
      <c r="P3" s="10" t="s">
        <v>49</v>
      </c>
      <c r="Q3" s="3" t="s">
        <v>50</v>
      </c>
      <c r="R3" s="10" t="s">
        <v>161</v>
      </c>
      <c r="S3">
        <v>5667</v>
      </c>
      <c r="T3" s="10" t="s">
        <v>50</v>
      </c>
      <c r="U3" t="s">
        <v>50</v>
      </c>
      <c r="V3" s="10" t="s">
        <v>52</v>
      </c>
      <c r="W3">
        <v>936101</v>
      </c>
      <c r="Y3" s="10" t="s">
        <v>162</v>
      </c>
      <c r="Z3" t="s">
        <v>1</v>
      </c>
      <c r="AA3" s="10" t="s">
        <v>68</v>
      </c>
      <c r="AB3" s="3" t="s">
        <v>68</v>
      </c>
      <c r="AC3" s="2" t="s">
        <v>163</v>
      </c>
      <c r="AD3" t="s">
        <v>80</v>
      </c>
      <c r="AE3" t="s">
        <v>50</v>
      </c>
      <c r="AF3" s="3" t="s">
        <v>50</v>
      </c>
      <c r="AG3" s="2" t="s">
        <v>64</v>
      </c>
      <c r="AH3" s="3" t="s">
        <v>164</v>
      </c>
      <c r="AI3" s="2" t="s">
        <v>165</v>
      </c>
      <c r="AJ3" t="s">
        <v>166</v>
      </c>
      <c r="AK3" s="3" t="s">
        <v>167</v>
      </c>
      <c r="AL3" s="2" t="s">
        <v>55</v>
      </c>
      <c r="AM3" t="s">
        <v>50</v>
      </c>
      <c r="AN3" t="s">
        <v>50</v>
      </c>
      <c r="AO3" t="s">
        <v>50</v>
      </c>
      <c r="AP3" t="s">
        <v>50</v>
      </c>
      <c r="AQ3" t="s">
        <v>50</v>
      </c>
      <c r="AR3" t="s">
        <v>50</v>
      </c>
      <c r="AS3" t="s">
        <v>56</v>
      </c>
      <c r="AT3" t="s">
        <v>57</v>
      </c>
      <c r="AU3" s="4"/>
      <c r="AV3" t="s">
        <v>168</v>
      </c>
      <c r="AW3" t="s">
        <v>169</v>
      </c>
      <c r="AX3" t="s">
        <v>170</v>
      </c>
      <c r="AY3" t="s">
        <v>171</v>
      </c>
      <c r="AZ3" t="s">
        <v>172</v>
      </c>
    </row>
    <row r="4" spans="1:52" ht="102.6" customHeight="1" x14ac:dyDescent="0.25">
      <c r="A4" s="10" t="s">
        <v>44</v>
      </c>
      <c r="B4" t="s">
        <v>173</v>
      </c>
      <c r="E4" t="s">
        <v>174</v>
      </c>
      <c r="F4" s="11" t="s">
        <v>175</v>
      </c>
      <c r="G4" t="s">
        <v>176</v>
      </c>
      <c r="H4">
        <v>2021</v>
      </c>
      <c r="I4" t="s">
        <v>177</v>
      </c>
      <c r="J4" s="10" t="s">
        <v>178</v>
      </c>
      <c r="K4" s="12" t="s">
        <v>179</v>
      </c>
      <c r="L4" s="16" t="s">
        <v>50</v>
      </c>
      <c r="M4" t="s">
        <v>180</v>
      </c>
      <c r="N4">
        <v>2018</v>
      </c>
      <c r="O4" t="s">
        <v>181</v>
      </c>
      <c r="P4" t="s">
        <v>49</v>
      </c>
      <c r="Q4" s="3" t="s">
        <v>50</v>
      </c>
      <c r="R4" t="s">
        <v>182</v>
      </c>
      <c r="S4">
        <v>77</v>
      </c>
      <c r="T4" t="s">
        <v>50</v>
      </c>
      <c r="U4" t="s">
        <v>50</v>
      </c>
      <c r="V4" t="s">
        <v>52</v>
      </c>
      <c r="W4">
        <f>33+32+33+19</f>
        <v>117</v>
      </c>
      <c r="Y4" t="s">
        <v>50</v>
      </c>
      <c r="Z4" t="s">
        <v>183</v>
      </c>
      <c r="AB4" s="3" t="s">
        <v>184</v>
      </c>
      <c r="AC4" s="2" t="s">
        <v>54</v>
      </c>
      <c r="AD4" t="s">
        <v>80</v>
      </c>
      <c r="AE4" t="s">
        <v>50</v>
      </c>
      <c r="AF4" s="3" t="s">
        <v>50</v>
      </c>
      <c r="AG4" s="2" t="s">
        <v>64</v>
      </c>
      <c r="AH4" s="3" t="s">
        <v>185</v>
      </c>
      <c r="AI4" s="2" t="s">
        <v>186</v>
      </c>
      <c r="AJ4" t="s">
        <v>187</v>
      </c>
      <c r="AK4" s="3"/>
      <c r="AL4" s="2" t="s">
        <v>55</v>
      </c>
      <c r="AM4" t="s">
        <v>50</v>
      </c>
      <c r="AN4" t="s">
        <v>50</v>
      </c>
      <c r="AO4" t="s">
        <v>50</v>
      </c>
      <c r="AP4" t="s">
        <v>50</v>
      </c>
      <c r="AQ4" t="s">
        <v>50</v>
      </c>
      <c r="AR4" t="s">
        <v>50</v>
      </c>
      <c r="AS4" t="s">
        <v>56</v>
      </c>
      <c r="AT4" t="s">
        <v>57</v>
      </c>
      <c r="AU4" s="4" t="s">
        <v>188</v>
      </c>
    </row>
    <row r="5" spans="1:52" ht="114.15" x14ac:dyDescent="0.25">
      <c r="A5" s="10" t="s">
        <v>44</v>
      </c>
      <c r="B5" t="s">
        <v>207</v>
      </c>
      <c r="C5" s="9" t="s">
        <v>208</v>
      </c>
      <c r="D5" s="9"/>
      <c r="E5" t="s">
        <v>209</v>
      </c>
      <c r="F5" s="10" t="s">
        <v>210</v>
      </c>
      <c r="G5" t="s">
        <v>211</v>
      </c>
      <c r="H5">
        <v>2009</v>
      </c>
      <c r="I5" t="s">
        <v>212</v>
      </c>
      <c r="J5" s="10" t="s">
        <v>141</v>
      </c>
      <c r="K5" s="12" t="s">
        <v>213</v>
      </c>
      <c r="L5" s="16" t="s">
        <v>214</v>
      </c>
      <c r="M5" t="s">
        <v>215</v>
      </c>
      <c r="N5">
        <v>2005</v>
      </c>
      <c r="O5" t="s">
        <v>78</v>
      </c>
      <c r="P5" t="s">
        <v>216</v>
      </c>
      <c r="Q5" s="3" t="s">
        <v>217</v>
      </c>
      <c r="R5" t="s">
        <v>218</v>
      </c>
      <c r="S5">
        <v>3308</v>
      </c>
      <c r="T5" t="s">
        <v>50</v>
      </c>
      <c r="U5" t="s">
        <v>50</v>
      </c>
      <c r="V5" t="s">
        <v>52</v>
      </c>
      <c r="W5">
        <v>47820</v>
      </c>
      <c r="Y5" t="s">
        <v>50</v>
      </c>
      <c r="Z5" t="s">
        <v>1</v>
      </c>
      <c r="AB5" s="3" t="s">
        <v>68</v>
      </c>
      <c r="AC5" s="2" t="s">
        <v>54</v>
      </c>
      <c r="AD5" t="s">
        <v>80</v>
      </c>
      <c r="AE5" t="s">
        <v>50</v>
      </c>
      <c r="AF5" s="3" t="s">
        <v>50</v>
      </c>
      <c r="AG5" s="2" t="s">
        <v>64</v>
      </c>
      <c r="AH5" s="3" t="s">
        <v>219</v>
      </c>
      <c r="AI5" s="2" t="s">
        <v>220</v>
      </c>
      <c r="AJ5" t="s">
        <v>50</v>
      </c>
      <c r="AK5" s="3" t="s">
        <v>221</v>
      </c>
      <c r="AL5" s="2" t="s">
        <v>55</v>
      </c>
      <c r="AM5" t="s">
        <v>50</v>
      </c>
      <c r="AN5" t="s">
        <v>50</v>
      </c>
      <c r="AO5" t="s">
        <v>50</v>
      </c>
      <c r="AP5" t="s">
        <v>50</v>
      </c>
      <c r="AQ5" t="s">
        <v>50</v>
      </c>
      <c r="AR5" t="s">
        <v>50</v>
      </c>
      <c r="AS5" t="s">
        <v>222</v>
      </c>
      <c r="AT5" t="s">
        <v>57</v>
      </c>
      <c r="AU5" s="4"/>
    </row>
    <row r="6" spans="1:52" ht="185.45" x14ac:dyDescent="0.25">
      <c r="A6" s="10" t="s">
        <v>44</v>
      </c>
      <c r="B6" t="s">
        <v>223</v>
      </c>
      <c r="C6" s="9" t="s">
        <v>224</v>
      </c>
      <c r="D6" s="9"/>
      <c r="E6" t="s">
        <v>225</v>
      </c>
      <c r="F6" s="10" t="s">
        <v>226</v>
      </c>
      <c r="G6" t="s">
        <v>227</v>
      </c>
      <c r="H6">
        <v>2009</v>
      </c>
      <c r="I6" t="s">
        <v>228</v>
      </c>
      <c r="J6" s="10" t="s">
        <v>141</v>
      </c>
      <c r="K6" s="12" t="s">
        <v>229</v>
      </c>
      <c r="L6" s="16" t="s">
        <v>214</v>
      </c>
      <c r="M6" t="s">
        <v>215</v>
      </c>
      <c r="N6">
        <v>2005</v>
      </c>
      <c r="O6" t="s">
        <v>78</v>
      </c>
      <c r="P6" t="s">
        <v>216</v>
      </c>
      <c r="Q6" s="3" t="s">
        <v>217</v>
      </c>
      <c r="R6" t="s">
        <v>218</v>
      </c>
      <c r="S6">
        <v>30</v>
      </c>
      <c r="T6" t="s">
        <v>50</v>
      </c>
      <c r="U6" t="s">
        <v>50</v>
      </c>
      <c r="V6" t="s">
        <v>52</v>
      </c>
      <c r="W6" t="s">
        <v>50</v>
      </c>
      <c r="Y6" t="s">
        <v>50</v>
      </c>
      <c r="Z6" t="s">
        <v>230</v>
      </c>
      <c r="AB6" s="3" t="s">
        <v>68</v>
      </c>
      <c r="AC6" s="2" t="s">
        <v>54</v>
      </c>
      <c r="AD6" t="s">
        <v>80</v>
      </c>
      <c r="AE6" t="s">
        <v>50</v>
      </c>
      <c r="AF6" s="3" t="s">
        <v>50</v>
      </c>
      <c r="AG6" s="2" t="s">
        <v>64</v>
      </c>
      <c r="AH6" s="3" t="s">
        <v>219</v>
      </c>
      <c r="AI6" s="2" t="s">
        <v>220</v>
      </c>
      <c r="AJ6" t="s">
        <v>50</v>
      </c>
      <c r="AK6" s="3" t="s">
        <v>50</v>
      </c>
      <c r="AL6" s="2" t="s">
        <v>55</v>
      </c>
      <c r="AM6" t="s">
        <v>50</v>
      </c>
      <c r="AN6" t="s">
        <v>50</v>
      </c>
      <c r="AO6" t="s">
        <v>50</v>
      </c>
      <c r="AP6" t="s">
        <v>50</v>
      </c>
      <c r="AQ6" t="s">
        <v>50</v>
      </c>
      <c r="AR6" t="s">
        <v>50</v>
      </c>
      <c r="AS6" t="s">
        <v>222</v>
      </c>
      <c r="AT6" t="s">
        <v>57</v>
      </c>
      <c r="AU6" s="4"/>
      <c r="AV6" t="s">
        <v>231</v>
      </c>
      <c r="AW6" t="s">
        <v>232</v>
      </c>
      <c r="AX6" t="s">
        <v>233</v>
      </c>
    </row>
    <row r="7" spans="1:52" ht="370.9" x14ac:dyDescent="0.25">
      <c r="A7" s="10" t="s">
        <v>44</v>
      </c>
      <c r="B7" t="s">
        <v>234</v>
      </c>
      <c r="C7" s="9" t="s">
        <v>235</v>
      </c>
      <c r="D7" s="9"/>
      <c r="E7" t="s">
        <v>236</v>
      </c>
      <c r="F7" s="10" t="s">
        <v>237</v>
      </c>
      <c r="G7" t="s">
        <v>238</v>
      </c>
      <c r="H7">
        <v>2010</v>
      </c>
      <c r="I7" t="s">
        <v>239</v>
      </c>
      <c r="J7" s="10" t="s">
        <v>240</v>
      </c>
      <c r="K7" s="12" t="s">
        <v>241</v>
      </c>
      <c r="L7" s="16" t="s">
        <v>159</v>
      </c>
      <c r="M7" s="10" t="s">
        <v>242</v>
      </c>
      <c r="N7">
        <v>2006</v>
      </c>
      <c r="O7" s="10" t="s">
        <v>78</v>
      </c>
      <c r="P7" s="10" t="s">
        <v>243</v>
      </c>
      <c r="Q7" s="3" t="s">
        <v>244</v>
      </c>
      <c r="R7" s="10" t="s">
        <v>245</v>
      </c>
      <c r="S7" s="10" t="s">
        <v>246</v>
      </c>
      <c r="T7" s="10" t="s">
        <v>50</v>
      </c>
      <c r="U7" s="10" t="s">
        <v>50</v>
      </c>
      <c r="V7" s="10" t="s">
        <v>52</v>
      </c>
      <c r="W7" s="10" t="s">
        <v>247</v>
      </c>
      <c r="X7" s="10"/>
      <c r="Y7" s="10" t="s">
        <v>248</v>
      </c>
      <c r="Z7" s="10" t="s">
        <v>1</v>
      </c>
      <c r="AA7" s="10" t="s">
        <v>68</v>
      </c>
      <c r="AB7" s="3" t="s">
        <v>68</v>
      </c>
      <c r="AC7" s="2" t="s">
        <v>249</v>
      </c>
      <c r="AD7" s="10" t="s">
        <v>80</v>
      </c>
      <c r="AE7" s="10" t="s">
        <v>50</v>
      </c>
      <c r="AF7" s="3" t="s">
        <v>50</v>
      </c>
      <c r="AG7" s="2" t="s">
        <v>64</v>
      </c>
      <c r="AH7" s="3" t="s">
        <v>250</v>
      </c>
      <c r="AI7" s="2" t="s">
        <v>50</v>
      </c>
      <c r="AJ7" s="10" t="s">
        <v>251</v>
      </c>
      <c r="AK7" s="3" t="s">
        <v>50</v>
      </c>
      <c r="AL7" s="2" t="s">
        <v>55</v>
      </c>
      <c r="AM7" t="s">
        <v>50</v>
      </c>
      <c r="AN7" t="s">
        <v>50</v>
      </c>
      <c r="AO7" t="s">
        <v>50</v>
      </c>
      <c r="AP7" t="s">
        <v>50</v>
      </c>
      <c r="AQ7" t="s">
        <v>50</v>
      </c>
      <c r="AR7" t="s">
        <v>50</v>
      </c>
      <c r="AS7" t="s">
        <v>56</v>
      </c>
      <c r="AT7" t="s">
        <v>57</v>
      </c>
      <c r="AU7" s="4"/>
    </row>
    <row r="8" spans="1:52" ht="134.35" customHeight="1" x14ac:dyDescent="0.25">
      <c r="A8" s="10" t="s">
        <v>487</v>
      </c>
      <c r="B8" t="s">
        <v>335</v>
      </c>
      <c r="E8" t="s">
        <v>336</v>
      </c>
      <c r="F8" s="10" t="s">
        <v>337</v>
      </c>
      <c r="G8" t="s">
        <v>338</v>
      </c>
      <c r="H8">
        <v>2018</v>
      </c>
      <c r="I8" t="s">
        <v>296</v>
      </c>
      <c r="J8" s="10" t="s">
        <v>297</v>
      </c>
      <c r="K8" s="12" t="s">
        <v>339</v>
      </c>
      <c r="L8" s="16" t="s">
        <v>340</v>
      </c>
      <c r="M8" t="s">
        <v>129</v>
      </c>
      <c r="N8">
        <v>2007</v>
      </c>
      <c r="O8" t="s">
        <v>63</v>
      </c>
      <c r="P8" t="s">
        <v>79</v>
      </c>
      <c r="Q8" s="3" t="s">
        <v>78</v>
      </c>
      <c r="R8" t="s">
        <v>51</v>
      </c>
      <c r="S8">
        <v>4653</v>
      </c>
      <c r="T8" t="s">
        <v>50</v>
      </c>
      <c r="U8" t="s">
        <v>50</v>
      </c>
      <c r="V8" t="s">
        <v>109</v>
      </c>
      <c r="W8" t="s">
        <v>50</v>
      </c>
      <c r="Y8">
        <v>28179</v>
      </c>
      <c r="Z8" t="s">
        <v>1</v>
      </c>
      <c r="AB8" s="3" t="s">
        <v>68</v>
      </c>
      <c r="AC8" s="2" t="s">
        <v>50</v>
      </c>
      <c r="AD8" t="s">
        <v>50</v>
      </c>
      <c r="AE8" t="s">
        <v>50</v>
      </c>
      <c r="AF8" s="3" t="s">
        <v>50</v>
      </c>
      <c r="AG8" s="2" t="s">
        <v>64</v>
      </c>
      <c r="AH8" s="3" t="s">
        <v>341</v>
      </c>
      <c r="AI8" s="2" t="s">
        <v>342</v>
      </c>
      <c r="AK8" s="3"/>
      <c r="AL8" s="2" t="s">
        <v>55</v>
      </c>
      <c r="AM8" t="s">
        <v>50</v>
      </c>
      <c r="AN8" t="s">
        <v>50</v>
      </c>
      <c r="AO8" t="s">
        <v>50</v>
      </c>
      <c r="AP8" t="s">
        <v>50</v>
      </c>
      <c r="AQ8" t="s">
        <v>50</v>
      </c>
      <c r="AR8" t="s">
        <v>50</v>
      </c>
      <c r="AS8" t="s">
        <v>56</v>
      </c>
      <c r="AT8" t="s">
        <v>57</v>
      </c>
      <c r="AU8" s="4"/>
    </row>
    <row r="9" spans="1:52" ht="193.75" customHeight="1" x14ac:dyDescent="0.25">
      <c r="A9" s="10" t="s">
        <v>44</v>
      </c>
      <c r="C9" t="s">
        <v>401</v>
      </c>
      <c r="E9" t="s">
        <v>402</v>
      </c>
      <c r="F9" s="10" t="s">
        <v>451</v>
      </c>
      <c r="G9" t="s">
        <v>403</v>
      </c>
      <c r="H9">
        <v>2020</v>
      </c>
      <c r="I9" t="s">
        <v>404</v>
      </c>
      <c r="J9" s="10" t="s">
        <v>405</v>
      </c>
      <c r="K9" s="12" t="s">
        <v>450</v>
      </c>
      <c r="L9" s="16" t="s">
        <v>50</v>
      </c>
      <c r="M9" s="10" t="s">
        <v>440</v>
      </c>
      <c r="N9" s="10" t="s">
        <v>441</v>
      </c>
      <c r="O9" s="10" t="s">
        <v>78</v>
      </c>
      <c r="P9" s="10" t="s">
        <v>49</v>
      </c>
      <c r="Q9" s="3" t="s">
        <v>436</v>
      </c>
      <c r="R9" s="10" t="s">
        <v>358</v>
      </c>
      <c r="S9">
        <v>1</v>
      </c>
      <c r="T9" s="10" t="s">
        <v>50</v>
      </c>
      <c r="U9">
        <v>40</v>
      </c>
      <c r="V9" s="10" t="s">
        <v>103</v>
      </c>
      <c r="W9" t="s">
        <v>50</v>
      </c>
      <c r="X9" t="s">
        <v>50</v>
      </c>
      <c r="Y9" t="s">
        <v>50</v>
      </c>
      <c r="Z9" t="s">
        <v>442</v>
      </c>
      <c r="AA9" t="s">
        <v>443</v>
      </c>
      <c r="AB9" s="3" t="s">
        <v>444</v>
      </c>
      <c r="AC9" s="2" t="s">
        <v>69</v>
      </c>
      <c r="AD9" t="s">
        <v>328</v>
      </c>
      <c r="AE9" t="s">
        <v>50</v>
      </c>
      <c r="AF9" s="3" t="s">
        <v>104</v>
      </c>
      <c r="AG9" s="2" t="s">
        <v>64</v>
      </c>
      <c r="AH9" s="3" t="s">
        <v>445</v>
      </c>
      <c r="AI9" s="10" t="s">
        <v>446</v>
      </c>
      <c r="AJ9" t="s">
        <v>439</v>
      </c>
      <c r="AK9" s="3" t="s">
        <v>439</v>
      </c>
      <c r="AL9" s="2" t="s">
        <v>55</v>
      </c>
      <c r="AM9" t="s">
        <v>50</v>
      </c>
      <c r="AN9" t="s">
        <v>50</v>
      </c>
      <c r="AO9" t="s">
        <v>50</v>
      </c>
      <c r="AP9" t="s">
        <v>50</v>
      </c>
      <c r="AQ9" t="s">
        <v>50</v>
      </c>
      <c r="AR9" t="s">
        <v>50</v>
      </c>
      <c r="AS9" t="s">
        <v>222</v>
      </c>
      <c r="AT9" s="3" t="s">
        <v>64</v>
      </c>
      <c r="AU9" s="4"/>
      <c r="AV9" t="s">
        <v>447</v>
      </c>
      <c r="AW9" t="s">
        <v>448</v>
      </c>
      <c r="AX9" t="s">
        <v>449</v>
      </c>
    </row>
    <row r="10" spans="1:52" x14ac:dyDescent="0.25">
      <c r="E10" t="s">
        <v>493</v>
      </c>
      <c r="F10" t="s">
        <v>492</v>
      </c>
    </row>
    <row r="11" spans="1:52" ht="85.6" x14ac:dyDescent="0.25">
      <c r="D11" t="s">
        <v>514</v>
      </c>
      <c r="E11" t="s">
        <v>497</v>
      </c>
      <c r="F11" s="10" t="s">
        <v>498</v>
      </c>
    </row>
    <row r="12" spans="1:52" ht="142.65" x14ac:dyDescent="0.25">
      <c r="E12" t="s">
        <v>499</v>
      </c>
      <c r="F12" s="10" t="s">
        <v>500</v>
      </c>
    </row>
    <row r="13" spans="1:52" ht="142.65" x14ac:dyDescent="0.25">
      <c r="D13" t="s">
        <v>501</v>
      </c>
      <c r="E13" t="s">
        <v>502</v>
      </c>
      <c r="F13" s="10" t="s">
        <v>503</v>
      </c>
    </row>
    <row r="14" spans="1:52" ht="142.65" x14ac:dyDescent="0.25">
      <c r="C14" t="s">
        <v>504</v>
      </c>
      <c r="D14" t="s">
        <v>505</v>
      </c>
      <c r="E14" t="s">
        <v>506</v>
      </c>
      <c r="F14" s="10" t="s">
        <v>507</v>
      </c>
    </row>
    <row r="15" spans="1:52" ht="99.85" x14ac:dyDescent="0.25">
      <c r="C15" t="s">
        <v>514</v>
      </c>
      <c r="D15" t="s">
        <v>513</v>
      </c>
      <c r="E15" t="s">
        <v>511</v>
      </c>
      <c r="F15" s="10" t="s">
        <v>512</v>
      </c>
    </row>
    <row r="16" spans="1:52" ht="214" x14ac:dyDescent="0.25">
      <c r="A16" t="s">
        <v>518</v>
      </c>
      <c r="C16" t="s">
        <v>517</v>
      </c>
      <c r="D16" t="s">
        <v>516</v>
      </c>
      <c r="E16" t="s">
        <v>519</v>
      </c>
      <c r="F16" s="10" t="s">
        <v>515</v>
      </c>
    </row>
    <row r="17" spans="1:60" ht="199.7" x14ac:dyDescent="0.25">
      <c r="C17" t="s">
        <v>539</v>
      </c>
      <c r="D17" t="s">
        <v>540</v>
      </c>
      <c r="E17" t="s">
        <v>541</v>
      </c>
      <c r="F17" s="10" t="s">
        <v>542</v>
      </c>
    </row>
    <row r="18" spans="1:60" ht="142.65" x14ac:dyDescent="0.25">
      <c r="A18" s="14" t="s">
        <v>133</v>
      </c>
      <c r="D18" t="s">
        <v>406</v>
      </c>
      <c r="E18" t="s">
        <v>407</v>
      </c>
      <c r="F18" s="10" t="s">
        <v>408</v>
      </c>
      <c r="G18" t="s">
        <v>409</v>
      </c>
      <c r="H18">
        <v>2022</v>
      </c>
      <c r="I18" t="s">
        <v>410</v>
      </c>
      <c r="J18" s="12"/>
      <c r="K18" s="16"/>
      <c r="P18" s="3"/>
      <c r="Z18" s="3"/>
      <c r="AA18" s="2"/>
      <c r="AD18" s="3"/>
      <c r="AE18" s="2"/>
      <c r="AF18" s="3"/>
      <c r="AI18" s="3"/>
      <c r="AJ18" s="2"/>
      <c r="AQ18" s="3"/>
      <c r="AR18" s="3"/>
      <c r="AS18" s="4"/>
    </row>
    <row r="19" spans="1:60" ht="20.399999999999999" customHeight="1" x14ac:dyDescent="0.25">
      <c r="A19" s="14" t="s">
        <v>133</v>
      </c>
      <c r="B19" t="s">
        <v>488</v>
      </c>
      <c r="D19" t="s">
        <v>473</v>
      </c>
      <c r="E19" t="s">
        <v>474</v>
      </c>
      <c r="F19" s="10" t="s">
        <v>475</v>
      </c>
      <c r="G19" t="s">
        <v>476</v>
      </c>
      <c r="H19">
        <v>2019</v>
      </c>
      <c r="I19" t="s">
        <v>477</v>
      </c>
      <c r="J19" s="12"/>
      <c r="K19" s="16"/>
      <c r="P19" s="3"/>
      <c r="Z19" s="3"/>
      <c r="AA19" s="2"/>
      <c r="AD19" s="3"/>
      <c r="AE19" s="2"/>
      <c r="AF19" s="3"/>
      <c r="AG19" s="2"/>
      <c r="AI19" s="3"/>
      <c r="AJ19" s="2"/>
      <c r="AQ19" s="3"/>
      <c r="AR19" s="3"/>
      <c r="AS19" s="4"/>
    </row>
    <row r="20" spans="1:60" ht="128.4" x14ac:dyDescent="0.25">
      <c r="A20" s="14" t="s">
        <v>427</v>
      </c>
      <c r="B20" t="s">
        <v>488</v>
      </c>
      <c r="D20" t="s">
        <v>428</v>
      </c>
      <c r="E20" t="s">
        <v>429</v>
      </c>
      <c r="F20" s="10" t="s">
        <v>430</v>
      </c>
      <c r="G20" t="s">
        <v>431</v>
      </c>
      <c r="H20">
        <v>2022</v>
      </c>
      <c r="I20" t="s">
        <v>239</v>
      </c>
      <c r="J20" s="12"/>
      <c r="K20" s="16"/>
      <c r="P20" s="3"/>
      <c r="Z20" s="3"/>
      <c r="AA20" s="2"/>
      <c r="AD20" s="3"/>
      <c r="AE20" s="2"/>
      <c r="AF20" s="3"/>
      <c r="AG20" s="2"/>
      <c r="AI20" s="3"/>
      <c r="AJ20" s="2"/>
      <c r="AQ20" s="3"/>
      <c r="AR20" s="3"/>
      <c r="AS20" s="4"/>
    </row>
    <row r="21" spans="1:60" ht="29.4" customHeight="1" x14ac:dyDescent="0.25">
      <c r="A21" s="14" t="s">
        <v>133</v>
      </c>
      <c r="B21" t="s">
        <v>488</v>
      </c>
      <c r="D21" t="s">
        <v>481</v>
      </c>
      <c r="E21" t="s">
        <v>480</v>
      </c>
      <c r="F21" s="10" t="s">
        <v>478</v>
      </c>
      <c r="G21" t="s">
        <v>479</v>
      </c>
      <c r="H21">
        <v>2023</v>
      </c>
      <c r="I21" t="s">
        <v>239</v>
      </c>
      <c r="J21" s="12"/>
      <c r="K21" s="16"/>
      <c r="P21" s="3"/>
      <c r="Z21" s="3"/>
      <c r="AA21" s="2"/>
      <c r="AD21" s="3"/>
      <c r="AE21" s="2"/>
      <c r="AF21" s="3"/>
      <c r="AG21" s="2"/>
      <c r="AI21" s="3"/>
      <c r="AJ21" s="2"/>
      <c r="AQ21" s="3"/>
      <c r="AR21" s="3"/>
      <c r="AS21" s="4"/>
    </row>
    <row r="22" spans="1:60" ht="171.2" x14ac:dyDescent="0.25">
      <c r="E22" t="s">
        <v>544</v>
      </c>
      <c r="F22" s="10" t="s">
        <v>545</v>
      </c>
      <c r="G22" t="s">
        <v>546</v>
      </c>
      <c r="H22">
        <v>2020</v>
      </c>
      <c r="I22" t="s">
        <v>547</v>
      </c>
    </row>
    <row r="23" spans="1:60" ht="171.2" x14ac:dyDescent="0.25">
      <c r="E23" t="s">
        <v>552</v>
      </c>
      <c r="F23" s="10" t="s">
        <v>551</v>
      </c>
    </row>
    <row r="24" spans="1:60" ht="228.25" x14ac:dyDescent="0.25">
      <c r="A24" s="14" t="s">
        <v>133</v>
      </c>
      <c r="B24" t="s">
        <v>561</v>
      </c>
      <c r="C24" t="s">
        <v>467</v>
      </c>
      <c r="D24" t="s">
        <v>468</v>
      </c>
      <c r="E24" s="10" t="s">
        <v>469</v>
      </c>
      <c r="F24" t="s">
        <v>470</v>
      </c>
      <c r="G24">
        <v>2021</v>
      </c>
      <c r="H24" t="s">
        <v>471</v>
      </c>
      <c r="I24" s="10" t="s">
        <v>472</v>
      </c>
      <c r="J24" s="12" t="s">
        <v>560</v>
      </c>
      <c r="K24" s="16"/>
      <c r="L24" s="10"/>
      <c r="N24" s="10"/>
      <c r="O24" s="10"/>
      <c r="P24" s="3"/>
      <c r="Q24" s="10"/>
      <c r="T24" s="10"/>
      <c r="Z24" s="3"/>
      <c r="AA24" s="2"/>
      <c r="AD24" s="3"/>
      <c r="AE24" s="2"/>
      <c r="AF24" s="3"/>
      <c r="AI24" s="3"/>
      <c r="AJ24" s="2"/>
      <c r="AS24" s="4"/>
    </row>
    <row r="25" spans="1:60" ht="99.85" x14ac:dyDescent="0.25">
      <c r="A25" s="14"/>
      <c r="B25" t="s">
        <v>563</v>
      </c>
      <c r="C25" t="s">
        <v>524</v>
      </c>
      <c r="D25" t="s">
        <v>526</v>
      </c>
      <c r="E25" s="10" t="s">
        <v>530</v>
      </c>
      <c r="F25" t="s">
        <v>523</v>
      </c>
      <c r="G25">
        <v>2023</v>
      </c>
      <c r="H25" t="s">
        <v>525</v>
      </c>
      <c r="I25" s="10" t="s">
        <v>62</v>
      </c>
      <c r="J25" t="s">
        <v>562</v>
      </c>
      <c r="K25" s="16"/>
      <c r="L25" s="10"/>
      <c r="P25" s="3"/>
      <c r="Z25" s="3"/>
      <c r="AA25" s="2"/>
      <c r="AD25" s="3"/>
      <c r="AE25" s="2"/>
      <c r="AF25" s="3"/>
      <c r="AG25" s="2"/>
      <c r="AI25" s="3"/>
      <c r="AJ25" s="2"/>
      <c r="AR25" s="3"/>
      <c r="AS25" s="4"/>
    </row>
    <row r="26" spans="1:60" x14ac:dyDescent="0.25">
      <c r="B26" t="s">
        <v>563</v>
      </c>
      <c r="C26" t="s">
        <v>564</v>
      </c>
      <c r="D26" t="s">
        <v>565</v>
      </c>
      <c r="E26" t="s">
        <v>566</v>
      </c>
    </row>
    <row r="27" spans="1:60" ht="313.85000000000002" x14ac:dyDescent="0.25">
      <c r="A27" s="10" t="s">
        <v>44</v>
      </c>
      <c r="B27" t="s">
        <v>252</v>
      </c>
      <c r="C27" s="9" t="s">
        <v>253</v>
      </c>
      <c r="D27" t="s">
        <v>254</v>
      </c>
      <c r="E27" s="10" t="s">
        <v>255</v>
      </c>
      <c r="F27" t="s">
        <v>256</v>
      </c>
      <c r="G27">
        <v>2011</v>
      </c>
      <c r="H27" t="s">
        <v>257</v>
      </c>
      <c r="I27" s="10" t="s">
        <v>258</v>
      </c>
      <c r="J27" s="12" t="s">
        <v>259</v>
      </c>
      <c r="K27" s="16" t="s">
        <v>214</v>
      </c>
      <c r="L27" s="10" t="s">
        <v>215</v>
      </c>
      <c r="M27">
        <v>2005</v>
      </c>
      <c r="N27" t="s">
        <v>78</v>
      </c>
      <c r="O27" t="s">
        <v>216</v>
      </c>
      <c r="P27" s="3" t="s">
        <v>217</v>
      </c>
      <c r="Q27" t="s">
        <v>218</v>
      </c>
      <c r="R27">
        <v>3306</v>
      </c>
      <c r="S27" t="s">
        <v>50</v>
      </c>
      <c r="T27" t="s">
        <v>52</v>
      </c>
      <c r="U27" t="s">
        <v>50</v>
      </c>
      <c r="W27" t="s">
        <v>50</v>
      </c>
      <c r="X27" t="s">
        <v>1</v>
      </c>
      <c r="Y27" t="s">
        <v>68</v>
      </c>
      <c r="Z27" s="3" t="s">
        <v>68</v>
      </c>
      <c r="AA27" s="2" t="s">
        <v>54</v>
      </c>
      <c r="AB27" t="s">
        <v>80</v>
      </c>
      <c r="AC27" t="s">
        <v>50</v>
      </c>
      <c r="AD27" s="3" t="s">
        <v>50</v>
      </c>
      <c r="AE27" s="2" t="s">
        <v>64</v>
      </c>
      <c r="AF27" s="3" t="s">
        <v>219</v>
      </c>
      <c r="AG27" s="2" t="s">
        <v>260</v>
      </c>
      <c r="AH27" t="s">
        <v>50</v>
      </c>
      <c r="AI27" s="3" t="s">
        <v>50</v>
      </c>
      <c r="AJ27" s="2" t="s">
        <v>64</v>
      </c>
      <c r="AK27" t="s">
        <v>261</v>
      </c>
      <c r="AL27" t="s">
        <v>262</v>
      </c>
      <c r="AM27" t="s">
        <v>64</v>
      </c>
      <c r="AN27" t="s">
        <v>263</v>
      </c>
      <c r="AO27" t="s">
        <v>64</v>
      </c>
      <c r="AP27" t="s">
        <v>435</v>
      </c>
      <c r="AQ27" t="s">
        <v>222</v>
      </c>
      <c r="AR27" s="4"/>
      <c r="AV27" s="3" t="s">
        <v>57</v>
      </c>
    </row>
    <row r="28" spans="1:60" ht="285.3" x14ac:dyDescent="0.25">
      <c r="A28" s="14" t="s">
        <v>133</v>
      </c>
      <c r="B28" t="s">
        <v>583</v>
      </c>
      <c r="C28" s="17" t="s">
        <v>415</v>
      </c>
      <c r="D28" t="s">
        <v>416</v>
      </c>
      <c r="E28" s="10" t="s">
        <v>417</v>
      </c>
      <c r="F28" t="s">
        <v>418</v>
      </c>
      <c r="G28">
        <v>2023</v>
      </c>
      <c r="H28" t="s">
        <v>101</v>
      </c>
      <c r="I28" s="10" t="s">
        <v>62</v>
      </c>
      <c r="J28" s="10" t="s">
        <v>582</v>
      </c>
      <c r="K28" s="16"/>
      <c r="L28" s="10"/>
      <c r="P28" s="3"/>
      <c r="Z28" s="3"/>
      <c r="AA28" s="2"/>
      <c r="AD28" s="3"/>
      <c r="AE28" s="2"/>
      <c r="AF28" s="3"/>
      <c r="AG28" s="2"/>
      <c r="AI28" s="3"/>
      <c r="AJ28" s="2"/>
      <c r="AQ28" s="3" t="s">
        <v>222</v>
      </c>
      <c r="AR28" s="4"/>
      <c r="AV28" s="3" t="s">
        <v>57</v>
      </c>
    </row>
    <row r="29" spans="1:60" ht="199.7" x14ac:dyDescent="0.25">
      <c r="A29" s="10" t="s">
        <v>44</v>
      </c>
      <c r="B29" t="s">
        <v>268</v>
      </c>
      <c r="C29" s="10" t="s">
        <v>269</v>
      </c>
      <c r="D29" t="s">
        <v>270</v>
      </c>
      <c r="E29">
        <v>2023</v>
      </c>
      <c r="F29" t="s">
        <v>271</v>
      </c>
      <c r="G29" s="10" t="s">
        <v>598</v>
      </c>
      <c r="H29" s="10" t="s">
        <v>598</v>
      </c>
      <c r="I29" s="12" t="s">
        <v>272</v>
      </c>
      <c r="J29" s="16" t="s">
        <v>273</v>
      </c>
      <c r="K29" s="10" t="s">
        <v>274</v>
      </c>
      <c r="L29">
        <v>2016</v>
      </c>
      <c r="N29" t="s">
        <v>78</v>
      </c>
      <c r="O29" t="s">
        <v>49</v>
      </c>
      <c r="P29" s="3" t="s">
        <v>50</v>
      </c>
      <c r="Q29" t="s">
        <v>275</v>
      </c>
      <c r="R29" t="s">
        <v>52</v>
      </c>
      <c r="S29">
        <v>1009</v>
      </c>
      <c r="T29" t="s">
        <v>50</v>
      </c>
      <c r="U29" t="s">
        <v>50</v>
      </c>
      <c r="W29">
        <v>19113</v>
      </c>
      <c r="X29" t="s">
        <v>267</v>
      </c>
      <c r="Y29" t="s">
        <v>276</v>
      </c>
      <c r="Z29" t="s">
        <v>276</v>
      </c>
      <c r="AA29" t="s">
        <v>605</v>
      </c>
      <c r="AB29" s="3" t="s">
        <v>277</v>
      </c>
      <c r="AC29" s="2" t="s">
        <v>54</v>
      </c>
      <c r="AD29" t="s">
        <v>80</v>
      </c>
      <c r="AE29" t="s">
        <v>50</v>
      </c>
      <c r="AF29" s="3" t="s">
        <v>50</v>
      </c>
      <c r="AG29" s="2" t="s">
        <v>55</v>
      </c>
      <c r="AH29" s="3" t="s">
        <v>50</v>
      </c>
      <c r="AI29" s="2" t="s">
        <v>278</v>
      </c>
      <c r="AK29" s="3"/>
      <c r="AL29" s="2" t="s">
        <v>55</v>
      </c>
      <c r="AM29" t="s">
        <v>50</v>
      </c>
      <c r="AN29" t="s">
        <v>50</v>
      </c>
      <c r="AO29" t="s">
        <v>50</v>
      </c>
      <c r="AP29" t="s">
        <v>50</v>
      </c>
      <c r="AQ29" t="s">
        <v>50</v>
      </c>
      <c r="AR29" t="s">
        <v>50</v>
      </c>
      <c r="AS29" t="s">
        <v>56</v>
      </c>
      <c r="AU29" s="21">
        <v>0</v>
      </c>
      <c r="AV29" s="21">
        <v>0</v>
      </c>
      <c r="AW29" s="21">
        <v>0</v>
      </c>
      <c r="AX29" s="22"/>
      <c r="AY29" s="22"/>
      <c r="AZ29" s="22"/>
    </row>
    <row r="30" spans="1:60" ht="128.4" x14ac:dyDescent="0.25">
      <c r="A30" s="10" t="s">
        <v>618</v>
      </c>
      <c r="B30" t="s">
        <v>194</v>
      </c>
      <c r="C30" s="10" t="s">
        <v>195</v>
      </c>
      <c r="D30" t="s">
        <v>196</v>
      </c>
      <c r="E30">
        <v>2024</v>
      </c>
      <c r="F30" t="s">
        <v>197</v>
      </c>
      <c r="G30" s="10" t="s">
        <v>601</v>
      </c>
      <c r="H30" s="10" t="s">
        <v>603</v>
      </c>
      <c r="I30" s="10" t="s">
        <v>198</v>
      </c>
      <c r="J30" s="25" t="s">
        <v>199</v>
      </c>
      <c r="K30" s="10" t="s">
        <v>611</v>
      </c>
      <c r="L30" s="25" t="s">
        <v>200</v>
      </c>
      <c r="M30" s="10" t="s">
        <v>610</v>
      </c>
      <c r="N30" t="s">
        <v>612</v>
      </c>
      <c r="O30">
        <v>0.33</v>
      </c>
      <c r="P30" t="s">
        <v>79</v>
      </c>
      <c r="Q30" s="1"/>
      <c r="R30" s="3" t="s">
        <v>613</v>
      </c>
      <c r="S30" s="23"/>
      <c r="T30" t="s">
        <v>74</v>
      </c>
      <c r="U30" t="s">
        <v>615</v>
      </c>
      <c r="V30" s="1" t="s">
        <v>201</v>
      </c>
      <c r="W30" t="s">
        <v>52</v>
      </c>
      <c r="X30">
        <v>2532</v>
      </c>
      <c r="Y30" s="1">
        <v>2532</v>
      </c>
      <c r="Z30" t="s">
        <v>50</v>
      </c>
      <c r="AA30" t="s">
        <v>50</v>
      </c>
      <c r="AB30" s="24" t="s">
        <v>50</v>
      </c>
      <c r="AD30" t="s">
        <v>202</v>
      </c>
      <c r="AE30" t="s">
        <v>193</v>
      </c>
      <c r="AF30" s="24" t="s">
        <v>203</v>
      </c>
      <c r="AG30" t="s">
        <v>53</v>
      </c>
      <c r="AH30" t="s">
        <v>608</v>
      </c>
      <c r="AI30" s="3" t="s">
        <v>604</v>
      </c>
      <c r="AJ30" s="2" t="s">
        <v>614</v>
      </c>
      <c r="AL30" t="s">
        <v>50</v>
      </c>
      <c r="AM30" t="s">
        <v>50</v>
      </c>
      <c r="AN30" s="3" t="s">
        <v>617</v>
      </c>
      <c r="AO30" s="2" t="s">
        <v>64</v>
      </c>
      <c r="AP30" s="3" t="s">
        <v>204</v>
      </c>
      <c r="AQ30" s="2" t="s">
        <v>205</v>
      </c>
      <c r="AR30" t="s">
        <v>50</v>
      </c>
      <c r="AS30" t="s">
        <v>206</v>
      </c>
      <c r="AT30" s="2" t="s">
        <v>55</v>
      </c>
      <c r="AU30" t="s">
        <v>50</v>
      </c>
      <c r="AV30" t="s">
        <v>50</v>
      </c>
      <c r="AW30" t="s">
        <v>50</v>
      </c>
      <c r="AX30" t="s">
        <v>50</v>
      </c>
      <c r="AY30" t="s">
        <v>50</v>
      </c>
      <c r="AZ30" t="s">
        <v>50</v>
      </c>
      <c r="BA30" t="s">
        <v>56</v>
      </c>
      <c r="BB30" s="4"/>
      <c r="BC30" s="21">
        <v>0</v>
      </c>
      <c r="BD30" s="21">
        <v>0</v>
      </c>
      <c r="BE30" s="21">
        <v>0</v>
      </c>
      <c r="BF30" s="22"/>
      <c r="BG30" s="22"/>
      <c r="BH30" s="22"/>
    </row>
  </sheetData>
  <autoFilter ref="A1:AV1" xr:uid="{76454F8C-CCDD-40C2-96B3-0FCB86438C20}"/>
  <hyperlinks>
    <hyperlink ref="C3" r:id="rId1" xr:uid="{495F52E3-9D71-449D-9CDE-0FB4A8E104B5}"/>
    <hyperlink ref="C6" r:id="rId2" xr:uid="{172B9742-2065-4D57-858C-87FD28A47E10}"/>
    <hyperlink ref="C5" r:id="rId3" xr:uid="{575C58B5-9F23-4365-9ABE-56D93B66E8BA}"/>
    <hyperlink ref="C27" r:id="rId4" xr:uid="{08C68343-365C-461C-B765-2DBACA65D209}"/>
    <hyperlink ref="C28" r:id="rId5" xr:uid="{E421D206-0E41-4C15-8852-D5F259895CCA}"/>
  </hyperlinks>
  <pageMargins left="0.7" right="0.7" top="0.75" bottom="0.75" header="0.3" footer="0.3"/>
  <pageSetup paperSize="9" orientation="portrait" r:id="rId6"/>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0FB6D-30AC-4478-8817-8144130A4A1E}">
  <dimension ref="A1"/>
  <sheetViews>
    <sheetView workbookViewId="0">
      <selection activeCell="D15" sqref="D15"/>
    </sheetView>
  </sheetViews>
  <sheetFormatPr baseColWidth="10" defaultColWidth="11.5" defaultRowHeight="14.3"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AB17-A34E-42CA-BBA8-CF8599AC2147}">
  <dimension ref="A1:AY3"/>
  <sheetViews>
    <sheetView workbookViewId="0">
      <selection activeCell="A3" sqref="A3:XFD3"/>
    </sheetView>
  </sheetViews>
  <sheetFormatPr baseColWidth="10" defaultRowHeight="14.3" x14ac:dyDescent="0.25"/>
  <sheetData>
    <row r="1" spans="1:51" s="6" customFormat="1" ht="114.8" thickBot="1" x14ac:dyDescent="0.3">
      <c r="A1" s="6" t="s">
        <v>2</v>
      </c>
      <c r="B1" s="6" t="s">
        <v>3</v>
      </c>
      <c r="C1" s="6" t="s">
        <v>4</v>
      </c>
      <c r="D1" s="6" t="s">
        <v>5</v>
      </c>
      <c r="E1" s="6" t="s">
        <v>6</v>
      </c>
      <c r="F1" s="6" t="s">
        <v>7</v>
      </c>
      <c r="G1" s="6" t="s">
        <v>8</v>
      </c>
      <c r="H1" s="6" t="s">
        <v>9</v>
      </c>
      <c r="I1" s="6" t="s">
        <v>10</v>
      </c>
      <c r="J1" s="7" t="s">
        <v>11</v>
      </c>
      <c r="K1" s="5" t="s">
        <v>12</v>
      </c>
      <c r="L1" s="6" t="s">
        <v>13</v>
      </c>
      <c r="M1" s="6" t="s">
        <v>14</v>
      </c>
      <c r="N1" s="6" t="s">
        <v>15</v>
      </c>
      <c r="O1" s="6" t="s">
        <v>16</v>
      </c>
      <c r="P1" s="7" t="s">
        <v>17</v>
      </c>
      <c r="Q1" s="6" t="s">
        <v>18</v>
      </c>
      <c r="R1" s="6" t="s">
        <v>19</v>
      </c>
      <c r="S1" s="6" t="s">
        <v>21</v>
      </c>
      <c r="T1" s="6" t="s">
        <v>22</v>
      </c>
      <c r="U1" s="6" t="s">
        <v>23</v>
      </c>
      <c r="V1" s="6" t="s">
        <v>521</v>
      </c>
      <c r="W1" s="6" t="s">
        <v>438</v>
      </c>
      <c r="X1" s="6" t="s">
        <v>24</v>
      </c>
      <c r="Y1" s="6" t="s">
        <v>522</v>
      </c>
      <c r="Z1" s="7" t="s">
        <v>26</v>
      </c>
      <c r="AA1" s="5" t="s">
        <v>27</v>
      </c>
      <c r="AB1" s="6" t="s">
        <v>28</v>
      </c>
      <c r="AC1" s="6" t="s">
        <v>29</v>
      </c>
      <c r="AD1" s="7" t="s">
        <v>30</v>
      </c>
      <c r="AE1" s="5" t="s">
        <v>31</v>
      </c>
      <c r="AF1" s="7" t="s">
        <v>32</v>
      </c>
      <c r="AG1" s="5" t="s">
        <v>33</v>
      </c>
      <c r="AH1" s="6" t="s">
        <v>34</v>
      </c>
      <c r="AI1" s="7" t="s">
        <v>35</v>
      </c>
      <c r="AJ1" s="5" t="s">
        <v>36</v>
      </c>
      <c r="AK1" s="6" t="s">
        <v>37</v>
      </c>
      <c r="AL1" s="6" t="s">
        <v>38</v>
      </c>
      <c r="AM1" s="6" t="s">
        <v>39</v>
      </c>
      <c r="AN1" s="6" t="s">
        <v>40</v>
      </c>
      <c r="AO1" s="6" t="s">
        <v>41</v>
      </c>
      <c r="AP1" s="6" t="s">
        <v>40</v>
      </c>
      <c r="AQ1" s="6" t="s">
        <v>42</v>
      </c>
      <c r="AR1" s="8" t="s">
        <v>0</v>
      </c>
      <c r="AS1" s="6" t="s">
        <v>567</v>
      </c>
      <c r="AT1" s="6" t="s">
        <v>568</v>
      </c>
      <c r="AU1" s="6" t="s">
        <v>569</v>
      </c>
      <c r="AV1" s="6" t="s">
        <v>452</v>
      </c>
    </row>
    <row r="2" spans="1:51" ht="199.7" x14ac:dyDescent="0.25">
      <c r="A2" s="14" t="s">
        <v>581</v>
      </c>
      <c r="C2" t="s">
        <v>535</v>
      </c>
      <c r="D2" t="s">
        <v>536</v>
      </c>
      <c r="E2" s="10" t="s">
        <v>537</v>
      </c>
      <c r="F2" t="s">
        <v>538</v>
      </c>
      <c r="G2">
        <v>2020</v>
      </c>
      <c r="H2" t="s">
        <v>365</v>
      </c>
      <c r="I2" s="10" t="s">
        <v>62</v>
      </c>
      <c r="J2" s="12" t="s">
        <v>578</v>
      </c>
      <c r="K2" s="16" t="s">
        <v>579</v>
      </c>
      <c r="L2" s="10"/>
      <c r="M2" s="10" t="s">
        <v>580</v>
      </c>
      <c r="N2" s="10" t="s">
        <v>78</v>
      </c>
      <c r="O2" s="10" t="s">
        <v>117</v>
      </c>
      <c r="P2" s="3"/>
      <c r="Z2" s="3"/>
      <c r="AA2" s="2"/>
      <c r="AD2" s="3"/>
      <c r="AE2" s="2"/>
      <c r="AF2" s="3"/>
      <c r="AI2" s="3"/>
      <c r="AJ2" s="2"/>
      <c r="AQ2" s="3" t="s">
        <v>222</v>
      </c>
      <c r="AR2" s="4"/>
      <c r="AV2" s="3" t="s">
        <v>57</v>
      </c>
    </row>
    <row r="3" spans="1:51" ht="356.6" x14ac:dyDescent="0.25">
      <c r="A3" s="15" t="s">
        <v>586</v>
      </c>
      <c r="C3" s="17" t="s">
        <v>419</v>
      </c>
      <c r="D3" t="s">
        <v>420</v>
      </c>
      <c r="E3" s="10" t="s">
        <v>421</v>
      </c>
      <c r="F3" t="s">
        <v>422</v>
      </c>
      <c r="G3">
        <v>2022</v>
      </c>
      <c r="H3" t="s">
        <v>423</v>
      </c>
      <c r="I3" s="10" t="s">
        <v>353</v>
      </c>
      <c r="J3" s="12" t="s">
        <v>584</v>
      </c>
      <c r="K3" s="16" t="s">
        <v>585</v>
      </c>
      <c r="L3" s="10"/>
      <c r="P3" s="3"/>
      <c r="Z3" s="3"/>
      <c r="AA3" s="2"/>
      <c r="AD3" s="3"/>
      <c r="AE3" s="2"/>
      <c r="AF3" s="3"/>
      <c r="AG3" s="2"/>
      <c r="AI3" s="3"/>
      <c r="AJ3" s="2"/>
      <c r="AQ3" s="3" t="s">
        <v>222</v>
      </c>
      <c r="AR3" s="4"/>
      <c r="AS3" s="21">
        <v>0</v>
      </c>
      <c r="AT3" s="21">
        <v>0</v>
      </c>
      <c r="AU3" s="21">
        <v>0</v>
      </c>
      <c r="AV3" s="21">
        <v>0</v>
      </c>
      <c r="AW3" s="22"/>
      <c r="AX3" s="22"/>
      <c r="AY3" s="22"/>
    </row>
  </sheetData>
  <hyperlinks>
    <hyperlink ref="C3" r:id="rId1" xr:uid="{01089639-C02C-4F03-B13C-20740EF6EFA0}"/>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FF48ACF1EED84988299B70F28D8B7D" ma:contentTypeVersion="13" ma:contentTypeDescription="Crée un document." ma:contentTypeScope="" ma:versionID="aed6dc8a1e0c0375682d95f43909d7a6">
  <xsd:schema xmlns:xsd="http://www.w3.org/2001/XMLSchema" xmlns:xs="http://www.w3.org/2001/XMLSchema" xmlns:p="http://schemas.microsoft.com/office/2006/metadata/properties" xmlns:ns3="e462866a-86d3-44af-9496-8f6279a8194a" xmlns:ns4="e821a6d3-8b51-427c-89dc-11a9f9dfeeff" targetNamespace="http://schemas.microsoft.com/office/2006/metadata/properties" ma:root="true" ma:fieldsID="d281ddcaaa7e1a6307523ce41988ccea" ns3:_="" ns4:_="">
    <xsd:import namespace="e462866a-86d3-44af-9496-8f6279a8194a"/>
    <xsd:import namespace="e821a6d3-8b51-427c-89dc-11a9f9dfeef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2866a-86d3-44af-9496-8f6279a819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21a6d3-8b51-427c-89dc-11a9f9dfeeff"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SharingHintHash" ma:index="20"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462866a-86d3-44af-9496-8f6279a8194a" xsi:nil="true"/>
  </documentManagement>
</p:properties>
</file>

<file path=customXml/itemProps1.xml><?xml version="1.0" encoding="utf-8"?>
<ds:datastoreItem xmlns:ds="http://schemas.openxmlformats.org/officeDocument/2006/customXml" ds:itemID="{5FECF07E-23D0-4C40-85F2-7A1AF772DB7C}">
  <ds:schemaRefs>
    <ds:schemaRef ds:uri="http://schemas.microsoft.com/sharepoint/v3/contenttype/forms"/>
  </ds:schemaRefs>
</ds:datastoreItem>
</file>

<file path=customXml/itemProps2.xml><?xml version="1.0" encoding="utf-8"?>
<ds:datastoreItem xmlns:ds="http://schemas.openxmlformats.org/officeDocument/2006/customXml" ds:itemID="{BDDDF5A0-4CAE-46B0-BB19-9A8B18534E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62866a-86d3-44af-9496-8f6279a8194a"/>
    <ds:schemaRef ds:uri="e821a6d3-8b51-427c-89dc-11a9f9dfe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834F97-8AFB-4D16-B264-B83FC8D5A53A}">
  <ds:schemaRefs>
    <ds:schemaRef ds:uri="e462866a-86d3-44af-9496-8f6279a8194a"/>
    <ds:schemaRef ds:uri="http://purl.org/dc/elements/1.1/"/>
    <ds:schemaRef ds:uri="http://schemas.microsoft.com/office/2006/metadata/properties"/>
    <ds:schemaRef ds:uri="e821a6d3-8b51-427c-89dc-11a9f9dfeeff"/>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Grille d'extraction </vt:lpstr>
      <vt:lpstr>Papiers groupe de patient</vt:lpstr>
      <vt:lpstr>Dictionnaire de variables</vt:lpstr>
      <vt:lpstr>Papiers exclus finalement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elise, hodbert</dc:creator>
  <cp:keywords/>
  <dc:description/>
  <cp:lastModifiedBy>HODBERT Elise</cp:lastModifiedBy>
  <cp:revision/>
  <dcterms:created xsi:type="dcterms:W3CDTF">2015-06-05T18:19:34Z</dcterms:created>
  <dcterms:modified xsi:type="dcterms:W3CDTF">2026-05-13T15:25:20Z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0x0101008AFF48ACF1EED84988299B70F28D8B7D</vt:lpwstr>
  </property>
</Properties>
</file>